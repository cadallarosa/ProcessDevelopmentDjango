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timmuneinc-my.sharepoint.com/personal/dan_lachance_systimmune_com/Documents/Documents/Media and Mixture Preps/CHO MaxFB/"/>
    </mc:Choice>
  </mc:AlternateContent>
  <xr:revisionPtr revIDLastSave="26" documentId="8_{CBD7BEEE-A093-43A7-A732-8A12F394D235}" xr6:coauthVersionLast="47" xr6:coauthVersionMax="47" xr10:uidLastSave="{F6B24A4A-6575-4CFC-BED7-331701A795E4}"/>
  <bookViews>
    <workbookView xWindow="-110" yWindow="-110" windowWidth="38620" windowHeight="21100" xr2:uid="{43F07ADC-772B-4020-AF1A-25B9D9B9C690}"/>
  </bookViews>
  <sheets>
    <sheet name="CHO MaxFB Prep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13" i="1"/>
</calcChain>
</file>

<file path=xl/sharedStrings.xml><?xml version="1.0" encoding="utf-8"?>
<sst xmlns="http://schemas.openxmlformats.org/spreadsheetml/2006/main" count="30" uniqueCount="28">
  <si>
    <t>Catalog Number</t>
  </si>
  <si>
    <t>Lot Number</t>
  </si>
  <si>
    <t>Add MilliQ to target mass</t>
  </si>
  <si>
    <t>Enter total prep volume (L):</t>
  </si>
  <si>
    <t>Notes</t>
  </si>
  <si>
    <t>5M NaOH(mLs)</t>
  </si>
  <si>
    <t>5N HCL (mLs)</t>
  </si>
  <si>
    <t>Target Amount</t>
  </si>
  <si>
    <t>Measured Amount</t>
  </si>
  <si>
    <t>Record stir time (target 60 minutes)</t>
  </si>
  <si>
    <t>as needed</t>
  </si>
  <si>
    <t>Recipe Version:</t>
  </si>
  <si>
    <t>Enter prep date (MM/DD/YYYY):</t>
  </si>
  <si>
    <t>CHO MaxFB Dry Powder (g)</t>
  </si>
  <si>
    <t>SI-SOP-UP003 CHO MaxFB.docx</t>
  </si>
  <si>
    <t>Record pH (target 11.0 - 11.5)</t>
  </si>
  <si>
    <t>11.0 - 11.5</t>
  </si>
  <si>
    <t>Dilute 1:5 (20 uL CHO MaxFB + 80 uL DI or MilliQ)</t>
  </si>
  <si>
    <t>Record Osmolarity (target 180 - 240 Osmol/kg)</t>
  </si>
  <si>
    <t>180 - 240</t>
  </si>
  <si>
    <t>Initial MilliQ Water (70% Batch Weight; g)</t>
  </si>
  <si>
    <t>SS255-4</t>
  </si>
  <si>
    <t>MB1202.202</t>
  </si>
  <si>
    <t>MB240128A02</t>
  </si>
  <si>
    <t>10M NaOH (mLs)</t>
  </si>
  <si>
    <t>10N; subsequently added 40 mL MilliQ Water</t>
  </si>
  <si>
    <t>neglected to measure</t>
  </si>
  <si>
    <t>10N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</si>
</sst>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2"/>
    <xf numFmtId="0" fontId="1" fillId="2" borderId="0" xfId="1"/>
    <xf numFmtId="0" fontId="0" fillId="0" borderId="0" xfId="0" applyAlignment="1">
      <alignment horizontal="right"/>
    </xf>
    <xf numFmtId="14" fontId="0" fillId="0" borderId="0" xfId="0" applyNumberFormat="1"/>
    <xf numFmtId="0" fontId="0" fillId="3" borderId="1" xfId="0" applyFill="1" applyBorder="1"/>
    <xf numFmtId="11" fontId="0" fillId="3" borderId="1" xfId="0" applyNumberForma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3" borderId="1" xfId="0" applyFont="1" applyFill="1" applyBorder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ystimmuneinc.sharepoint.com/:w:/r/sites/ProcessDevelopment/Shared%20Documents/PD%20SOP/02_Upstream%20SOP/AK%20Editable%20SOPs/SI-SOP-UP003%20CHO%20MaxFB.docx?d=wad514608a183422ba3cd4fc219d76ba3&amp;csf=1&amp;web=1&amp;e=2W4Q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4ADC-C0C1-4228-B759-3C0C8F030D4C}">
  <dimension ref="A1:F14"/>
  <sheetViews>
    <sheetView tabSelected="1" workbookViewId="0">
      <selection activeCell="N16" sqref="N16"/>
    </sheetView>
  </sheetViews>
  <sheetFormatPr defaultRowHeight="14.5" x14ac:dyDescent="0.35"/>
  <cols>
    <col min="1" max="1" width="41.08984375" bestFit="1" customWidth="1"/>
    <col min="2" max="2" width="27.6328125" customWidth="1"/>
    <col min="3" max="3" width="19.6328125" bestFit="1" customWidth="1"/>
    <col min="4" max="4" width="15.1796875" bestFit="1" customWidth="1"/>
    <col min="5" max="5" width="13.90625" customWidth="1"/>
    <col min="7" max="7" width="14.6328125" bestFit="1" customWidth="1"/>
  </cols>
  <sheetData>
    <row r="1" spans="1:6" x14ac:dyDescent="0.35">
      <c r="A1" s="9" t="s">
        <v>11</v>
      </c>
      <c r="B1" s="2" t="s">
        <v>14</v>
      </c>
    </row>
    <row r="2" spans="1:6" x14ac:dyDescent="0.35">
      <c r="A2" s="9" t="s">
        <v>12</v>
      </c>
      <c r="B2" s="5">
        <v>45909</v>
      </c>
    </row>
    <row r="3" spans="1:6" x14ac:dyDescent="0.35">
      <c r="A3" s="9" t="s">
        <v>3</v>
      </c>
      <c r="B3" s="3">
        <v>0.5</v>
      </c>
      <c r="C3">
        <v>489.7</v>
      </c>
    </row>
    <row r="5" spans="1:6" x14ac:dyDescent="0.35">
      <c r="B5" s="1" t="s">
        <v>7</v>
      </c>
      <c r="C5" s="8" t="s">
        <v>8</v>
      </c>
      <c r="D5" s="8" t="s">
        <v>0</v>
      </c>
      <c r="E5" s="8" t="s">
        <v>1</v>
      </c>
      <c r="F5" s="8" t="s">
        <v>4</v>
      </c>
    </row>
    <row r="6" spans="1:6" x14ac:dyDescent="0.35">
      <c r="A6" t="s">
        <v>20</v>
      </c>
      <c r="B6">
        <f>B3*0.7*1000</f>
        <v>350</v>
      </c>
      <c r="C6" s="6">
        <v>349.8</v>
      </c>
      <c r="D6" s="6"/>
      <c r="E6" s="6"/>
    </row>
    <row r="7" spans="1:6" x14ac:dyDescent="0.35">
      <c r="A7" t="s">
        <v>13</v>
      </c>
      <c r="B7">
        <f>94.5*B3</f>
        <v>47.25</v>
      </c>
      <c r="C7" s="6">
        <v>47.3</v>
      </c>
      <c r="D7" s="10" t="s">
        <v>22</v>
      </c>
      <c r="E7" s="10" t="s">
        <v>23</v>
      </c>
    </row>
    <row r="8" spans="1:6" x14ac:dyDescent="0.35">
      <c r="A8" t="s">
        <v>24</v>
      </c>
      <c r="B8">
        <v>40</v>
      </c>
      <c r="C8" s="6">
        <v>40</v>
      </c>
      <c r="D8" s="10" t="s">
        <v>21</v>
      </c>
      <c r="E8" s="10">
        <v>245169</v>
      </c>
      <c r="F8" t="s">
        <v>25</v>
      </c>
    </row>
    <row r="9" spans="1:6" x14ac:dyDescent="0.35">
      <c r="A9" t="s">
        <v>6</v>
      </c>
      <c r="B9" t="s">
        <v>10</v>
      </c>
      <c r="C9" s="6">
        <v>0</v>
      </c>
      <c r="D9" s="6"/>
      <c r="E9" s="6"/>
    </row>
    <row r="10" spans="1:6" x14ac:dyDescent="0.35">
      <c r="A10" t="s">
        <v>5</v>
      </c>
      <c r="B10" t="s">
        <v>10</v>
      </c>
      <c r="C10" s="6">
        <v>4</v>
      </c>
      <c r="D10" s="10" t="s">
        <v>21</v>
      </c>
      <c r="E10" s="10">
        <v>245169</v>
      </c>
      <c r="F10" t="s">
        <v>27</v>
      </c>
    </row>
    <row r="11" spans="1:6" x14ac:dyDescent="0.35">
      <c r="A11" t="s">
        <v>15</v>
      </c>
      <c r="B11" s="4" t="s">
        <v>16</v>
      </c>
      <c r="C11" s="10">
        <v>11.5</v>
      </c>
      <c r="D11" s="6"/>
      <c r="E11" s="6"/>
    </row>
    <row r="12" spans="1:6" x14ac:dyDescent="0.35">
      <c r="A12" t="s">
        <v>9</v>
      </c>
      <c r="B12">
        <v>60</v>
      </c>
      <c r="C12" s="6">
        <v>60</v>
      </c>
      <c r="D12" s="6"/>
      <c r="E12" s="7"/>
    </row>
    <row r="13" spans="1:6" x14ac:dyDescent="0.35">
      <c r="A13" t="s">
        <v>2</v>
      </c>
      <c r="B13">
        <f>B3*1000</f>
        <v>500</v>
      </c>
      <c r="C13" s="6">
        <v>501.6</v>
      </c>
      <c r="D13" s="6"/>
      <c r="E13" s="6"/>
    </row>
    <row r="14" spans="1:6" x14ac:dyDescent="0.35">
      <c r="A14" t="s">
        <v>18</v>
      </c>
      <c r="B14" s="4" t="s">
        <v>19</v>
      </c>
      <c r="C14" s="6" t="s">
        <v>26</v>
      </c>
      <c r="D14" s="6"/>
      <c r="E14" s="6"/>
      <c r="F14" t="s">
        <v>17</v>
      </c>
    </row>
  </sheetData>
  <hyperlinks>
    <hyperlink ref="B1" r:id="rId1" display="https://systimmuneinc.sharepoint.com/:w:/r/sites/ProcessDevelopment/Shared Documents/PD SOP/02_Upstream SOP/AK Editable SOPs/SI-SOP-UP003 CHO MaxFB.docx?d=wad514608a183422ba3cd4fc219d76ba3&amp;csf=1&amp;web=1&amp;e=2W4QgL" xr:uid="{6DBBFA26-D874-4A04-B5FE-01A47EA7ED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 MaxFB Prep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LaChance</dc:creator>
  <cp:lastModifiedBy>Dan Lachance</cp:lastModifiedBy>
  <dcterms:created xsi:type="dcterms:W3CDTF">2025-09-04T17:56:07Z</dcterms:created>
  <dcterms:modified xsi:type="dcterms:W3CDTF">2025-09-24T20:33:14Z</dcterms:modified>
</cp:coreProperties>
</file>