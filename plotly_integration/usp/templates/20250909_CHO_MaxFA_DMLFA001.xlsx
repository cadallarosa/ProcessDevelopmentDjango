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dan_lachance_systimmune_com/Documents/Documents/Media and Mixture Preps/CHO MaxFA/"/>
    </mc:Choice>
  </mc:AlternateContent>
  <xr:revisionPtr revIDLastSave="241" documentId="8_{B76CE3F7-AD83-4E41-A827-46EEDD6066C3}" xr6:coauthVersionLast="47" xr6:coauthVersionMax="47" xr10:uidLastSave="{4F5ED177-BFF6-4B33-9194-551DA531E802}"/>
  <bookViews>
    <workbookView xWindow="-110" yWindow="-110" windowWidth="38620" windowHeight="21100" xr2:uid="{43F07ADC-772B-4020-AF1A-25B9D9B9C690}"/>
  </bookViews>
  <sheets>
    <sheet name="CHO MaxFA Prep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9" i="1"/>
  <c r="B8" i="1"/>
  <c r="B7" i="1"/>
</calcChain>
</file>

<file path=xl/sharedStrings.xml><?xml version="1.0" encoding="utf-8"?>
<sst xmlns="http://schemas.openxmlformats.org/spreadsheetml/2006/main" count="43" uniqueCount="33">
  <si>
    <t>Catalog Number</t>
  </si>
  <si>
    <t>Lot Number</t>
  </si>
  <si>
    <t>Add MilliQ to target mass</t>
  </si>
  <si>
    <t>SI-SOP-UP002 CHO MaxFA.docx</t>
  </si>
  <si>
    <t>Enter total prep volume (L):</t>
  </si>
  <si>
    <t>Notes</t>
  </si>
  <si>
    <t>CHO MaxFA Dry Powder (g)</t>
  </si>
  <si>
    <t>Initial MilliQ Water (80% Batch Weight; g)</t>
  </si>
  <si>
    <t>5M NaOH (mLs)</t>
  </si>
  <si>
    <t>5N HCL (mLs)</t>
  </si>
  <si>
    <t>Target Amount</t>
  </si>
  <si>
    <t>Measured Amount</t>
  </si>
  <si>
    <t>Record stir time (target 60 minutes)</t>
  </si>
  <si>
    <t>6.6 - 6.8</t>
  </si>
  <si>
    <t>Record pH (target 6.6 - 6.8)</t>
  </si>
  <si>
    <t>6.7 - 7.0</t>
  </si>
  <si>
    <t>Record NOVA pH (target 6.6 - 6.8)</t>
  </si>
  <si>
    <t>Record Osmolarity (target 240 - 300 Osmol/kg)</t>
  </si>
  <si>
    <t>240 - 300</t>
  </si>
  <si>
    <t>Recipe Version:</t>
  </si>
  <si>
    <t>Enter prep date (MM/DD/YYYY):</t>
  </si>
  <si>
    <t>Dilute 1:5 (20 uL CHO MaxFA + 80 uL DI or MilliQ Water)</t>
  </si>
  <si>
    <t>10N NaOH (mLs)</t>
  </si>
  <si>
    <t>SS255-4</t>
  </si>
  <si>
    <t>MB1201.206</t>
  </si>
  <si>
    <t>MB231212A01</t>
  </si>
  <si>
    <t>1 mL 10N NaOH</t>
  </si>
  <si>
    <t>Used mass (g). I wonder if I should pivot to volume.</t>
  </si>
  <si>
    <t>In-house</t>
  </si>
  <si>
    <t>Record pH (target pH 6.7-7.0)</t>
  </si>
  <si>
    <t>as needed to target pH</t>
  </si>
  <si>
    <t>Start Here</t>
  </si>
  <si>
    <t>10N NaOH, even though the SOP calls for 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</si>
</sst>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3" borderId="1" xfId="0" applyFill="1" applyBorder="1"/>
    <xf numFmtId="11" fontId="0" fillId="3" borderId="1" xfId="0" applyNumberFormat="1" applyFill="1" applyBorder="1"/>
    <xf numFmtId="0" fontId="2" fillId="0" borderId="0" xfId="0" applyFont="1" applyAlignment="1">
      <alignment horizontal="center"/>
    </xf>
    <xf numFmtId="14" fontId="4" fillId="2" borderId="2" xfId="1" applyNumberFormat="1" applyFont="1" applyBorder="1"/>
    <xf numFmtId="0" fontId="4" fillId="2" borderId="2" xfId="1" applyFont="1" applyBorder="1"/>
    <xf numFmtId="0" fontId="2" fillId="0" borderId="3" xfId="0" applyFont="1" applyBorder="1" applyAlignment="1">
      <alignment horizontal="right"/>
    </xf>
    <xf numFmtId="0" fontId="3" fillId="0" borderId="4" xfId="2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5" fillId="0" borderId="7" xfId="0" applyFont="1" applyBorder="1" applyAlignment="1">
      <alignment horizont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ystimmuneinc.sharepoint.com/:w:/r/sites/ProcessDevelopment/Shared%20Documents/PD%20SOP/02_Upstream%20SOP/AK%20Editable%20SOPs/SI-SOP-UP002%20CHO%20MaxFA.docx?d=w9c700e15d30843eeb8646151cd5fe6b0&amp;csf=1&amp;web=1&amp;e=GV2h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4ADC-C0C1-4228-B759-3C0C8F030D4C}">
  <dimension ref="A1:G19"/>
  <sheetViews>
    <sheetView tabSelected="1" workbookViewId="0">
      <selection activeCell="F9" sqref="F9"/>
    </sheetView>
  </sheetViews>
  <sheetFormatPr defaultRowHeight="14.5" x14ac:dyDescent="0.35"/>
  <cols>
    <col min="1" max="1" width="41.08984375" bestFit="1" customWidth="1"/>
    <col min="2" max="2" width="27.6328125" customWidth="1"/>
    <col min="3" max="3" width="19.6328125" bestFit="1" customWidth="1"/>
    <col min="4" max="4" width="15.1796875" bestFit="1" customWidth="1"/>
    <col min="5" max="5" width="13.90625" customWidth="1"/>
    <col min="6" max="6" width="46.36328125" customWidth="1"/>
    <col min="7" max="7" width="14.6328125" bestFit="1" customWidth="1"/>
  </cols>
  <sheetData>
    <row r="1" spans="1:7" ht="21.5" thickBot="1" x14ac:dyDescent="0.55000000000000004">
      <c r="A1" s="12" t="s">
        <v>31</v>
      </c>
      <c r="B1" s="12"/>
    </row>
    <row r="2" spans="1:7" ht="15" thickBot="1" x14ac:dyDescent="0.4">
      <c r="A2" s="8" t="s">
        <v>19</v>
      </c>
      <c r="B2" s="9" t="s">
        <v>3</v>
      </c>
    </row>
    <row r="3" spans="1:7" ht="15" thickBot="1" x14ac:dyDescent="0.4">
      <c r="A3" s="10" t="s">
        <v>20</v>
      </c>
      <c r="B3" s="6">
        <v>45909</v>
      </c>
    </row>
    <row r="4" spans="1:7" ht="15" thickBot="1" x14ac:dyDescent="0.4">
      <c r="A4" s="11" t="s">
        <v>4</v>
      </c>
      <c r="B4" s="7">
        <v>4</v>
      </c>
    </row>
    <row r="6" spans="1:7" x14ac:dyDescent="0.35">
      <c r="B6" s="1" t="s">
        <v>10</v>
      </c>
      <c r="C6" s="5" t="s">
        <v>11</v>
      </c>
      <c r="D6" s="5" t="s">
        <v>0</v>
      </c>
      <c r="E6" s="5" t="s">
        <v>1</v>
      </c>
      <c r="F6" s="5" t="s">
        <v>5</v>
      </c>
      <c r="G6" s="5"/>
    </row>
    <row r="7" spans="1:7" x14ac:dyDescent="0.35">
      <c r="A7" t="s">
        <v>7</v>
      </c>
      <c r="B7">
        <f>B4*0.8*1000</f>
        <v>3200</v>
      </c>
      <c r="C7" s="3">
        <v>3200.1</v>
      </c>
      <c r="D7" s="3" t="s">
        <v>28</v>
      </c>
      <c r="E7" s="3" t="s">
        <v>28</v>
      </c>
    </row>
    <row r="8" spans="1:7" x14ac:dyDescent="0.35">
      <c r="A8" t="s">
        <v>6</v>
      </c>
      <c r="B8">
        <f>180*B4</f>
        <v>720</v>
      </c>
      <c r="C8" s="3">
        <v>720</v>
      </c>
      <c r="D8" s="3" t="s">
        <v>24</v>
      </c>
      <c r="E8" s="3" t="s">
        <v>25</v>
      </c>
    </row>
    <row r="9" spans="1:7" x14ac:dyDescent="0.35">
      <c r="A9" t="s">
        <v>8</v>
      </c>
      <c r="B9">
        <f>18*B4</f>
        <v>72</v>
      </c>
      <c r="C9" s="3">
        <v>36</v>
      </c>
      <c r="D9" s="3" t="s">
        <v>23</v>
      </c>
      <c r="E9" s="3">
        <v>245169</v>
      </c>
      <c r="F9" t="s">
        <v>32</v>
      </c>
    </row>
    <row r="10" spans="1:7" x14ac:dyDescent="0.35">
      <c r="A10" t="s">
        <v>9</v>
      </c>
      <c r="B10" t="s">
        <v>30</v>
      </c>
      <c r="C10" s="3">
        <v>0</v>
      </c>
      <c r="D10" s="3"/>
      <c r="E10" s="3"/>
    </row>
    <row r="11" spans="1:7" x14ac:dyDescent="0.35">
      <c r="A11" t="s">
        <v>22</v>
      </c>
      <c r="B11" t="s">
        <v>30</v>
      </c>
      <c r="C11" s="3">
        <v>15</v>
      </c>
      <c r="D11" s="3"/>
      <c r="E11" s="3"/>
    </row>
    <row r="12" spans="1:7" x14ac:dyDescent="0.35">
      <c r="A12" t="s">
        <v>14</v>
      </c>
      <c r="B12" s="2" t="s">
        <v>13</v>
      </c>
      <c r="C12" s="3">
        <v>6.7009999999999996</v>
      </c>
      <c r="D12" s="3" t="s">
        <v>23</v>
      </c>
      <c r="E12" s="3">
        <v>245169</v>
      </c>
    </row>
    <row r="13" spans="1:7" x14ac:dyDescent="0.35">
      <c r="A13" t="s">
        <v>12</v>
      </c>
      <c r="B13">
        <v>60</v>
      </c>
      <c r="C13" s="3">
        <v>60</v>
      </c>
      <c r="D13" s="3"/>
      <c r="E13" s="4"/>
    </row>
    <row r="14" spans="1:7" x14ac:dyDescent="0.35">
      <c r="A14" t="s">
        <v>22</v>
      </c>
      <c r="B14" t="s">
        <v>30</v>
      </c>
      <c r="C14" s="3">
        <v>1</v>
      </c>
      <c r="D14" s="3" t="s">
        <v>23</v>
      </c>
      <c r="E14" s="3">
        <v>245169</v>
      </c>
      <c r="F14" t="s">
        <v>26</v>
      </c>
    </row>
    <row r="15" spans="1:7" x14ac:dyDescent="0.35">
      <c r="A15" t="s">
        <v>9</v>
      </c>
      <c r="B15" t="s">
        <v>30</v>
      </c>
      <c r="C15" s="3">
        <v>0</v>
      </c>
      <c r="D15" s="3"/>
      <c r="E15" s="3"/>
      <c r="F15" t="s">
        <v>26</v>
      </c>
    </row>
    <row r="16" spans="1:7" x14ac:dyDescent="0.35">
      <c r="A16" t="s">
        <v>29</v>
      </c>
      <c r="B16" s="2" t="s">
        <v>15</v>
      </c>
      <c r="C16" s="3">
        <v>6.7119999999999997</v>
      </c>
      <c r="D16" s="3"/>
      <c r="E16" s="3"/>
    </row>
    <row r="17" spans="1:6" x14ac:dyDescent="0.35">
      <c r="A17" t="s">
        <v>2</v>
      </c>
      <c r="B17">
        <f>B5*1000</f>
        <v>0</v>
      </c>
      <c r="C17" s="3">
        <v>4001</v>
      </c>
      <c r="D17" s="3"/>
      <c r="E17" s="3"/>
      <c r="F17" t="s">
        <v>27</v>
      </c>
    </row>
    <row r="18" spans="1:6" x14ac:dyDescent="0.35">
      <c r="A18" t="s">
        <v>16</v>
      </c>
      <c r="B18" s="2" t="s">
        <v>13</v>
      </c>
      <c r="C18" s="3">
        <v>6.78</v>
      </c>
      <c r="D18" s="3"/>
      <c r="E18" s="3"/>
    </row>
    <row r="19" spans="1:6" x14ac:dyDescent="0.35">
      <c r="A19" t="s">
        <v>17</v>
      </c>
      <c r="B19" s="2" t="s">
        <v>18</v>
      </c>
      <c r="C19" s="3">
        <v>290</v>
      </c>
      <c r="D19" s="3"/>
      <c r="E19" s="3"/>
      <c r="F19" t="s">
        <v>21</v>
      </c>
    </row>
  </sheetData>
  <mergeCells count="1">
    <mergeCell ref="A1:B1"/>
  </mergeCells>
  <hyperlinks>
    <hyperlink ref="B2" r:id="rId1" display="https://systimmuneinc.sharepoint.com/:w:/r/sites/ProcessDevelopment/Shared Documents/PD SOP/02_Upstream SOP/AK Editable SOPs/SI-SOP-UP002 CHO MaxFA.docx?d=w9c700e15d30843eeb8646151cd5fe6b0&amp;csf=1&amp;web=1&amp;e=GV2h2c" xr:uid="{FD293A27-E88A-417C-B444-E42A4DED96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 MaxFA Prep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LaChance</dc:creator>
  <cp:lastModifiedBy>Dan Lachance</cp:lastModifiedBy>
  <dcterms:created xsi:type="dcterms:W3CDTF">2025-09-04T17:56:07Z</dcterms:created>
  <dcterms:modified xsi:type="dcterms:W3CDTF">2025-09-23T22:37:17Z</dcterms:modified>
</cp:coreProperties>
</file>