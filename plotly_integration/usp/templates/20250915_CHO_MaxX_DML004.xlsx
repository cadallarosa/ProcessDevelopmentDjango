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ystimmuneinc-my.sharepoint.com/personal/dan_lachance_systimmune_com/Documents/Documents/Media and Mixture Preps/CHO MaxX/"/>
    </mc:Choice>
  </mc:AlternateContent>
  <xr:revisionPtr revIDLastSave="48" documentId="8_{C094EF98-893F-427A-B05B-09697B47F91C}" xr6:coauthVersionLast="47" xr6:coauthVersionMax="47" xr10:uidLastSave="{7409092D-0388-44DF-9D60-D4C81603DAAD}"/>
  <bookViews>
    <workbookView xWindow="-108" yWindow="-108" windowWidth="23256" windowHeight="13896" xr2:uid="{43F07ADC-772B-4020-AF1A-25B9D9B9C6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8" i="1"/>
  <c r="B7" i="1"/>
  <c r="B6" i="1"/>
</calcChain>
</file>

<file path=xl/sharedStrings.xml><?xml version="1.0" encoding="utf-8"?>
<sst xmlns="http://schemas.openxmlformats.org/spreadsheetml/2006/main" count="30" uniqueCount="29">
  <si>
    <t>Recipe Version:</t>
  </si>
  <si>
    <t>SI-SOP-UP001 CHO MaxX Medium.docx</t>
  </si>
  <si>
    <t>Enter prep date (MM/DD/YYYY):</t>
  </si>
  <si>
    <t>Enter total prep volume (L):</t>
  </si>
  <si>
    <t>Target Amount</t>
  </si>
  <si>
    <t>Measured Amount</t>
  </si>
  <si>
    <t>Catalog Number</t>
  </si>
  <si>
    <t>Lot Number</t>
  </si>
  <si>
    <t>Notes</t>
  </si>
  <si>
    <t>Initial MilliQ Water (80% Batch Weight; g)</t>
  </si>
  <si>
    <t>CHO MaxX Dry Powder (g)</t>
  </si>
  <si>
    <t>MB1113.201</t>
  </si>
  <si>
    <t>MB240628A01</t>
  </si>
  <si>
    <t>Sodium Bicarbonate (g)</t>
  </si>
  <si>
    <t>S233-3</t>
  </si>
  <si>
    <t>5M NaOH (mLs)</t>
  </si>
  <si>
    <t>ss256-500</t>
  </si>
  <si>
    <t>Record ph (target 9.0)</t>
  </si>
  <si>
    <t>Record stir time (target 10-30 minutes)</t>
  </si>
  <si>
    <t>5N HCL (target pH 6.7-7.0)</t>
  </si>
  <si>
    <t>5618-03</t>
  </si>
  <si>
    <t>24E1561053</t>
  </si>
  <si>
    <t>Record ph (target 6.7-7.0)</t>
  </si>
  <si>
    <t>6.7 - 7.0</t>
  </si>
  <si>
    <t>Add MilliQ to target mass</t>
  </si>
  <si>
    <t>Record NOVA pH (target 6.7 - 7.0)</t>
  </si>
  <si>
    <t>Record Osmolarity (target 270-320 Osmol/kg)</t>
  </si>
  <si>
    <t>270 - 320</t>
  </si>
  <si>
    <t>10N NaOH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</si>
</sst>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2"/>
    <xf numFmtId="0" fontId="1" fillId="2" borderId="0" xfId="1"/>
    <xf numFmtId="11" fontId="0" fillId="0" borderId="0" xfId="0" applyNumberFormat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right"/>
    </xf>
    <xf numFmtId="0" fontId="0" fillId="3" borderId="2" xfId="0" applyFill="1" applyBorder="1"/>
    <xf numFmtId="14" fontId="0" fillId="0" borderId="0" xfId="0" applyNumberFormat="1"/>
    <xf numFmtId="20" fontId="0" fillId="0" borderId="0" xfId="0" applyNumberFormat="1"/>
    <xf numFmtId="0" fontId="4" fillId="4" borderId="1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11" fontId="4" fillId="4" borderId="3" xfId="0" applyNumberFormat="1" applyFont="1" applyFill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ystimmuneinc.sharepoint.com/:w:/r/sites/ProcessDevelopment/Shared%20Documents/PD%20SOP/02_Upstream%20SOP/AK%20Editable%20SOPs/SI-SOP-UP001%20CHO%20MaxX%20Medium.docx?d=wb68fe44d3c4b41b4910b0ed7676899f2&amp;csf=1&amp;web=1&amp;e=UVho3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4ADC-C0C1-4228-B759-3C0C8F030D4C}">
  <dimension ref="A1:H16"/>
  <sheetViews>
    <sheetView tabSelected="1" workbookViewId="0">
      <selection activeCell="C13" sqref="C13"/>
    </sheetView>
  </sheetViews>
  <sheetFormatPr defaultRowHeight="14.4" x14ac:dyDescent="0.3"/>
  <cols>
    <col min="1" max="1" width="35.33203125" bestFit="1" customWidth="1"/>
    <col min="2" max="2" width="13.44140625" bestFit="1" customWidth="1"/>
    <col min="3" max="3" width="19.6640625" bestFit="1" customWidth="1"/>
    <col min="4" max="4" width="14.33203125" bestFit="1" customWidth="1"/>
    <col min="5" max="5" width="15" customWidth="1"/>
    <col min="6" max="6" width="61" bestFit="1" customWidth="1"/>
    <col min="7" max="7" width="14.6640625" bestFit="1" customWidth="1"/>
  </cols>
  <sheetData>
    <row r="1" spans="1:8" x14ac:dyDescent="0.3">
      <c r="A1" s="1" t="s">
        <v>0</v>
      </c>
      <c r="B1" s="2" t="s">
        <v>1</v>
      </c>
    </row>
    <row r="2" spans="1:8" x14ac:dyDescent="0.3">
      <c r="A2" s="1" t="s">
        <v>2</v>
      </c>
      <c r="B2" s="9">
        <v>45915</v>
      </c>
    </row>
    <row r="3" spans="1:8" x14ac:dyDescent="0.3">
      <c r="A3" s="1" t="s">
        <v>3</v>
      </c>
      <c r="B3" s="3">
        <v>6</v>
      </c>
    </row>
    <row r="5" spans="1:8" x14ac:dyDescent="0.3">
      <c r="B5" s="1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8" x14ac:dyDescent="0.3">
      <c r="A6" t="s">
        <v>9</v>
      </c>
      <c r="B6">
        <f>$B$3*0.8*1000</f>
        <v>4800.0000000000009</v>
      </c>
      <c r="C6" s="6">
        <v>4799.8999999999996</v>
      </c>
      <c r="D6" s="6"/>
      <c r="E6" s="6"/>
    </row>
    <row r="7" spans="1:8" x14ac:dyDescent="0.3">
      <c r="A7" t="s">
        <v>10</v>
      </c>
      <c r="B7">
        <f>20.6*$B$3</f>
        <v>123.60000000000001</v>
      </c>
      <c r="C7" s="6">
        <v>123.3</v>
      </c>
      <c r="D7" s="11" t="s">
        <v>11</v>
      </c>
      <c r="E7" s="12" t="s">
        <v>12</v>
      </c>
      <c r="G7" s="1"/>
      <c r="H7" s="1"/>
    </row>
    <row r="8" spans="1:8" x14ac:dyDescent="0.3">
      <c r="A8" t="s">
        <v>13</v>
      </c>
      <c r="B8">
        <f>1.8*$B$3</f>
        <v>10.8</v>
      </c>
      <c r="C8" s="6">
        <v>10.8</v>
      </c>
      <c r="D8" s="13" t="s">
        <v>14</v>
      </c>
      <c r="E8" s="14">
        <v>183343</v>
      </c>
    </row>
    <row r="9" spans="1:8" x14ac:dyDescent="0.3">
      <c r="A9" t="s">
        <v>15</v>
      </c>
      <c r="C9" s="6">
        <v>25</v>
      </c>
      <c r="D9" s="11" t="s">
        <v>16</v>
      </c>
      <c r="E9" s="12">
        <v>231478</v>
      </c>
      <c r="F9" t="s">
        <v>28</v>
      </c>
    </row>
    <row r="10" spans="1:8" x14ac:dyDescent="0.3">
      <c r="A10" t="s">
        <v>17</v>
      </c>
      <c r="C10" s="6">
        <v>8.9979999999999993</v>
      </c>
      <c r="D10" s="6"/>
      <c r="E10" s="6"/>
    </row>
    <row r="11" spans="1:8" x14ac:dyDescent="0.3">
      <c r="A11" t="s">
        <v>18</v>
      </c>
      <c r="B11" s="10"/>
      <c r="C11" s="6">
        <v>17</v>
      </c>
      <c r="D11" s="6"/>
      <c r="E11" s="6"/>
    </row>
    <row r="12" spans="1:8" x14ac:dyDescent="0.3">
      <c r="A12" t="s">
        <v>19</v>
      </c>
      <c r="C12" s="6">
        <v>0</v>
      </c>
      <c r="D12" s="11" t="s">
        <v>20</v>
      </c>
      <c r="E12" s="15" t="s">
        <v>21</v>
      </c>
    </row>
    <row r="13" spans="1:8" x14ac:dyDescent="0.3">
      <c r="A13" t="s">
        <v>22</v>
      </c>
      <c r="B13" s="7" t="s">
        <v>23</v>
      </c>
      <c r="C13" s="8">
        <v>6.9980000000000002</v>
      </c>
      <c r="D13" s="6"/>
      <c r="E13" s="6"/>
    </row>
    <row r="14" spans="1:8" x14ac:dyDescent="0.3">
      <c r="A14" t="s">
        <v>24</v>
      </c>
      <c r="B14">
        <f>$B$3*1000</f>
        <v>6000</v>
      </c>
      <c r="C14" s="6">
        <v>6000</v>
      </c>
      <c r="D14" s="6"/>
      <c r="E14" s="6"/>
      <c r="G14" s="4"/>
      <c r="H14" s="4"/>
    </row>
    <row r="15" spans="1:8" x14ac:dyDescent="0.3">
      <c r="A15" t="s">
        <v>25</v>
      </c>
      <c r="B15" s="7" t="s">
        <v>23</v>
      </c>
      <c r="C15" s="6">
        <v>6.9980000000000002</v>
      </c>
      <c r="D15" s="6"/>
      <c r="E15" s="6"/>
    </row>
    <row r="16" spans="1:8" x14ac:dyDescent="0.3">
      <c r="A16" t="s">
        <v>26</v>
      </c>
      <c r="B16" s="7" t="s">
        <v>27</v>
      </c>
      <c r="C16" s="6">
        <v>278</v>
      </c>
      <c r="D16" s="6"/>
      <c r="E16" s="6"/>
    </row>
  </sheetData>
  <hyperlinks>
    <hyperlink ref="B1" r:id="rId1" display="https://systimmuneinc.sharepoint.com/:w:/r/sites/ProcessDevelopment/Shared Documents/PD SOP/02_Upstream SOP/AK Editable SOPs/SI-SOP-UP001 CHO MaxX Medium.docx?d=wb68fe44d3c4b41b4910b0ed7676899f2&amp;csf=1&amp;web=1&amp;e=UVho3R" xr:uid="{EAFB1A2E-5CE5-4827-BCAC-511620E0BC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LaChance</dc:creator>
  <cp:keywords/>
  <dc:description/>
  <cp:lastModifiedBy>Dan Lachance</cp:lastModifiedBy>
  <cp:revision/>
  <dcterms:created xsi:type="dcterms:W3CDTF">2025-09-04T17:56:07Z</dcterms:created>
  <dcterms:modified xsi:type="dcterms:W3CDTF">2025-09-24T16:13:03Z</dcterms:modified>
  <cp:category/>
  <cp:contentStatus/>
</cp:coreProperties>
</file>