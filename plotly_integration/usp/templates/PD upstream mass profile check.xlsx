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allarosa\Downloads\"/>
    </mc:Choice>
  </mc:AlternateContent>
  <xr:revisionPtr revIDLastSave="0" documentId="8_{0FC9B9C4-F70E-4EF6-B7DB-2C821848E83C}" xr6:coauthVersionLast="47" xr6:coauthVersionMax="47" xr10:uidLastSave="{00000000-0000-0000-0000-000000000000}"/>
  <bookViews>
    <workbookView xWindow="28680" yWindow="-120" windowWidth="29040" windowHeight="15720" firstSheet="2" activeTab="2" xr2:uid="{BC3E2FAD-3112-4D91-B068-5E6DA3BDA58E}"/>
  </bookViews>
  <sheets>
    <sheet name="2023" sheetId="2" r:id="rId1"/>
    <sheet name="2024" sheetId="4" r:id="rId2"/>
    <sheet name="2025" sheetId="3" r:id="rId3"/>
  </sheets>
  <definedNames>
    <definedName name="_xlnm.Print_Area" localSheetId="0">'2023'!#REF!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2" i="3" l="1"/>
  <c r="R273" i="3"/>
  <c r="R274" i="3"/>
  <c r="R275" i="3"/>
  <c r="R276" i="3"/>
  <c r="R277" i="3"/>
  <c r="R278" i="3"/>
  <c r="R279" i="3"/>
  <c r="R280" i="3"/>
  <c r="R281" i="3"/>
  <c r="R282" i="3"/>
  <c r="R271" i="3"/>
  <c r="R252" i="3"/>
  <c r="R253" i="3"/>
  <c r="R254" i="3"/>
  <c r="R255" i="3"/>
  <c r="R256" i="3"/>
  <c r="R257" i="3"/>
  <c r="R251" i="3"/>
  <c r="O179" i="3"/>
  <c r="O180" i="3"/>
  <c r="O167" i="3"/>
  <c r="O178" i="3"/>
  <c r="O177" i="3"/>
  <c r="O176" i="3"/>
  <c r="O175" i="3"/>
  <c r="O174" i="3"/>
  <c r="O173" i="3"/>
  <c r="O172" i="3"/>
  <c r="O171" i="3"/>
  <c r="O170" i="3"/>
  <c r="O169" i="3"/>
  <c r="O168" i="3"/>
  <c r="O162" i="3"/>
  <c r="O93" i="3"/>
  <c r="O94" i="3"/>
  <c r="O95" i="3"/>
  <c r="O96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78" i="3"/>
  <c r="V79" i="3"/>
  <c r="V80" i="3"/>
  <c r="V81" i="3"/>
  <c r="V82" i="3"/>
  <c r="V83" i="3"/>
  <c r="V84" i="3"/>
  <c r="V85" i="3"/>
  <c r="V86" i="3"/>
  <c r="V87" i="3"/>
  <c r="V88" i="3"/>
  <c r="V93" i="3"/>
  <c r="V94" i="3"/>
  <c r="V95" i="3"/>
  <c r="V96" i="3"/>
  <c r="V97" i="3"/>
  <c r="V98" i="3"/>
  <c r="V99" i="3"/>
  <c r="V100" i="3"/>
  <c r="O147" i="3"/>
  <c r="O146" i="3"/>
  <c r="O144" i="3"/>
  <c r="O151" i="3"/>
  <c r="O152" i="3"/>
  <c r="O153" i="3"/>
  <c r="O154" i="3"/>
  <c r="O155" i="3"/>
  <c r="O156" i="3"/>
  <c r="O157" i="3"/>
  <c r="O158" i="3"/>
  <c r="O159" i="3"/>
  <c r="O160" i="3"/>
  <c r="O161" i="3"/>
  <c r="O163" i="3"/>
  <c r="O150" i="3"/>
  <c r="O149" i="3"/>
  <c r="O148" i="3"/>
  <c r="Y142" i="3"/>
  <c r="Y143" i="3"/>
  <c r="X142" i="3"/>
  <c r="X143" i="3"/>
  <c r="V142" i="3"/>
  <c r="V143" i="3"/>
  <c r="S141" i="3"/>
  <c r="S140" i="3"/>
  <c r="S138" i="3"/>
  <c r="S133" i="3"/>
  <c r="S132" i="3"/>
  <c r="S130" i="3"/>
  <c r="S123" i="3"/>
  <c r="S139" i="3"/>
  <c r="O139" i="3" s="1"/>
  <c r="S137" i="3"/>
  <c r="O137" i="3" s="1"/>
  <c r="S136" i="3"/>
  <c r="O136" i="3" s="1"/>
  <c r="S135" i="3"/>
  <c r="O135" i="3" s="1"/>
  <c r="S134" i="3"/>
  <c r="O134" i="3" s="1"/>
  <c r="S131" i="3"/>
  <c r="O131" i="3" s="1"/>
  <c r="S129" i="3"/>
  <c r="O129" i="3" s="1"/>
  <c r="S128" i="3"/>
  <c r="O128" i="3" s="1"/>
  <c r="S127" i="3"/>
  <c r="O127" i="3" s="1"/>
  <c r="S126" i="3"/>
  <c r="O126" i="3" s="1"/>
  <c r="S125" i="3"/>
  <c r="O125" i="3" s="1"/>
  <c r="S124" i="3"/>
  <c r="O124" i="3" s="1"/>
  <c r="S122" i="3"/>
  <c r="O122" i="3" s="1"/>
  <c r="Q141" i="3"/>
  <c r="Q140" i="3"/>
  <c r="Q138" i="3"/>
  <c r="Q133" i="3"/>
  <c r="Q132" i="3"/>
  <c r="Q123" i="3"/>
  <c r="Q130" i="3"/>
  <c r="X130" i="3" l="1"/>
  <c r="O130" i="3"/>
  <c r="X123" i="3"/>
  <c r="O123" i="3"/>
  <c r="X132" i="3"/>
  <c r="O132" i="3"/>
  <c r="X133" i="3"/>
  <c r="O133" i="3"/>
  <c r="X138" i="3"/>
  <c r="O138" i="3"/>
  <c r="X140" i="3"/>
  <c r="O140" i="3"/>
  <c r="X141" i="3"/>
  <c r="O141" i="3"/>
  <c r="X122" i="3"/>
  <c r="Y122" i="3"/>
  <c r="V122" i="3"/>
  <c r="Y124" i="3"/>
  <c r="X124" i="3"/>
  <c r="V124" i="3"/>
  <c r="X125" i="3"/>
  <c r="Y125" i="3"/>
  <c r="V125" i="3"/>
  <c r="X126" i="3"/>
  <c r="Y126" i="3"/>
  <c r="V126" i="3"/>
  <c r="X127" i="3"/>
  <c r="Y127" i="3"/>
  <c r="V127" i="3"/>
  <c r="X128" i="3"/>
  <c r="Y128" i="3"/>
  <c r="V128" i="3"/>
  <c r="X129" i="3"/>
  <c r="Y129" i="3"/>
  <c r="V129" i="3"/>
  <c r="X131" i="3"/>
  <c r="Y131" i="3"/>
  <c r="V131" i="3"/>
  <c r="X134" i="3"/>
  <c r="Y134" i="3"/>
  <c r="V134" i="3"/>
  <c r="X135" i="3"/>
  <c r="Y135" i="3"/>
  <c r="V135" i="3"/>
  <c r="X136" i="3"/>
  <c r="Y136" i="3"/>
  <c r="V136" i="3"/>
  <c r="X137" i="3"/>
  <c r="Y137" i="3"/>
  <c r="V137" i="3"/>
  <c r="X139" i="3"/>
  <c r="Y139" i="3"/>
  <c r="V139" i="3"/>
  <c r="Y123" i="3"/>
  <c r="V123" i="3"/>
  <c r="Y130" i="3"/>
  <c r="V130" i="3"/>
  <c r="Y132" i="3"/>
  <c r="V132" i="3"/>
  <c r="Y133" i="3"/>
  <c r="V133" i="3"/>
  <c r="Y138" i="3"/>
  <c r="V138" i="3"/>
  <c r="Y140" i="3"/>
  <c r="V140" i="3"/>
  <c r="Y141" i="3"/>
  <c r="V141" i="3"/>
  <c r="S117" i="3"/>
  <c r="Y117" i="3" s="1"/>
  <c r="S118" i="3"/>
  <c r="Y118" i="3" s="1"/>
  <c r="S119" i="3"/>
  <c r="S120" i="3"/>
  <c r="S113" i="3"/>
  <c r="Y113" i="3" s="1"/>
  <c r="S116" i="3"/>
  <c r="S115" i="3"/>
  <c r="Y115" i="3" s="1"/>
  <c r="S112" i="3"/>
  <c r="S114" i="3"/>
  <c r="S111" i="3"/>
  <c r="Y111" i="3" s="1"/>
  <c r="S110" i="3"/>
  <c r="Y110" i="3" s="1"/>
  <c r="S109" i="3"/>
  <c r="S108" i="3"/>
  <c r="S107" i="3"/>
  <c r="S106" i="3"/>
  <c r="S105" i="3"/>
  <c r="Y105" i="3" s="1"/>
  <c r="S104" i="3"/>
  <c r="V104" i="3" s="1"/>
  <c r="S103" i="3"/>
  <c r="V103" i="3" s="1"/>
  <c r="S102" i="3"/>
  <c r="V102" i="3" s="1"/>
  <c r="S101" i="3"/>
  <c r="V101" i="3" s="1"/>
  <c r="O79" i="3"/>
  <c r="O80" i="3"/>
  <c r="O81" i="3"/>
  <c r="O82" i="3"/>
  <c r="O83" i="3"/>
  <c r="O78" i="3"/>
  <c r="O85" i="3"/>
  <c r="O86" i="3"/>
  <c r="O87" i="3"/>
  <c r="O88" i="3"/>
  <c r="O84" i="3"/>
  <c r="S77" i="3"/>
  <c r="S76" i="3"/>
  <c r="S75" i="3"/>
  <c r="S74" i="3"/>
  <c r="S73" i="3"/>
  <c r="S72" i="3"/>
  <c r="S71" i="3"/>
  <c r="S70" i="3"/>
  <c r="S69" i="3"/>
  <c r="S28" i="3"/>
  <c r="V28" i="3" s="1"/>
  <c r="S27" i="3"/>
  <c r="V27" i="3" s="1"/>
  <c r="S26" i="3"/>
  <c r="V26" i="3" s="1"/>
  <c r="S25" i="3"/>
  <c r="V25" i="3" s="1"/>
  <c r="S24" i="3"/>
  <c r="V24" i="3" s="1"/>
  <c r="S23" i="3"/>
  <c r="V23" i="3" s="1"/>
  <c r="S22" i="3"/>
  <c r="V22" i="3" s="1"/>
  <c r="S21" i="3"/>
  <c r="V21" i="3" s="1"/>
  <c r="S20" i="3"/>
  <c r="V20" i="3" s="1"/>
  <c r="S19" i="3"/>
  <c r="V19" i="3" s="1"/>
  <c r="S18" i="3"/>
  <c r="V18" i="3" s="1"/>
  <c r="S17" i="3"/>
  <c r="V17" i="3" s="1"/>
  <c r="S16" i="3"/>
  <c r="V16" i="3" s="1"/>
  <c r="S15" i="3"/>
  <c r="V15" i="3" s="1"/>
  <c r="S14" i="3"/>
  <c r="V14" i="3" s="1"/>
  <c r="S13" i="3"/>
  <c r="V13" i="3" s="1"/>
  <c r="S12" i="3"/>
  <c r="V12" i="3" s="1"/>
  <c r="S11" i="3"/>
  <c r="V11" i="3" s="1"/>
  <c r="S10" i="3"/>
  <c r="V10" i="3" s="1"/>
  <c r="S9" i="3"/>
  <c r="V9" i="3" s="1"/>
  <c r="S8" i="3"/>
  <c r="V8" i="3" s="1"/>
  <c r="S7" i="3"/>
  <c r="V7" i="3" s="1"/>
  <c r="S6" i="3"/>
  <c r="V6" i="3" s="1"/>
  <c r="S5" i="3"/>
  <c r="V5" i="3" s="1"/>
  <c r="S4" i="3"/>
  <c r="V4" i="3" s="1"/>
  <c r="S3" i="3"/>
  <c r="V3" i="3" s="1"/>
  <c r="S2" i="3"/>
  <c r="V2" i="3" s="1"/>
  <c r="R195" i="2"/>
  <c r="R194" i="2"/>
  <c r="R192" i="2"/>
  <c r="R185" i="2"/>
  <c r="R184" i="2"/>
  <c r="R191" i="2"/>
  <c r="R190" i="2"/>
  <c r="R183" i="2"/>
  <c r="R182" i="2"/>
  <c r="R181" i="2"/>
  <c r="R180" i="2"/>
  <c r="R179" i="2"/>
  <c r="R178" i="2"/>
  <c r="R160" i="2"/>
  <c r="R159" i="2"/>
  <c r="R169" i="2"/>
  <c r="R176" i="2"/>
  <c r="R175" i="2"/>
  <c r="R174" i="2"/>
  <c r="R168" i="2"/>
  <c r="R158" i="2"/>
  <c r="R177" i="2"/>
  <c r="R173" i="2"/>
  <c r="R164" i="2"/>
  <c r="R167" i="2"/>
  <c r="R157" i="2"/>
  <c r="R172" i="2"/>
  <c r="R171" i="2"/>
  <c r="R170" i="2"/>
  <c r="R163" i="2"/>
  <c r="R162" i="2"/>
  <c r="R161" i="2"/>
  <c r="R156" i="2"/>
  <c r="R155" i="2"/>
  <c r="R154" i="2"/>
  <c r="R149" i="2"/>
  <c r="R166" i="2"/>
  <c r="R165" i="2"/>
  <c r="R153" i="2"/>
  <c r="R152" i="2"/>
  <c r="R151" i="2"/>
  <c r="R150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2" i="2"/>
  <c r="R103" i="2"/>
  <c r="R101" i="2"/>
  <c r="R100" i="2"/>
  <c r="R99" i="2"/>
  <c r="R98" i="2"/>
  <c r="R97" i="2"/>
  <c r="R96" i="2"/>
  <c r="R95" i="2"/>
  <c r="R91" i="2"/>
  <c r="R90" i="2"/>
  <c r="R89" i="2"/>
  <c r="R88" i="2"/>
  <c r="R87" i="2"/>
  <c r="R86" i="2"/>
  <c r="R84" i="2"/>
  <c r="R85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4" i="2"/>
  <c r="R45" i="2"/>
  <c r="R40" i="2"/>
  <c r="R33" i="2"/>
  <c r="R31" i="2"/>
  <c r="R30" i="2"/>
  <c r="R29" i="2"/>
  <c r="R28" i="2"/>
  <c r="R27" i="2"/>
  <c r="R38" i="2"/>
  <c r="R37" i="2"/>
  <c r="R36" i="2"/>
  <c r="R35" i="2"/>
  <c r="R34" i="2"/>
  <c r="R26" i="2"/>
  <c r="R25" i="2"/>
  <c r="R24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R22" i="2"/>
  <c r="R21" i="2"/>
  <c r="O69" i="3" l="1"/>
  <c r="V69" i="3"/>
  <c r="O70" i="3"/>
  <c r="V70" i="3"/>
  <c r="O71" i="3"/>
  <c r="V71" i="3"/>
  <c r="O72" i="3"/>
  <c r="V72" i="3"/>
  <c r="O73" i="3"/>
  <c r="V73" i="3"/>
  <c r="O74" i="3"/>
  <c r="V74" i="3"/>
  <c r="O75" i="3"/>
  <c r="V75" i="3"/>
  <c r="O76" i="3"/>
  <c r="V76" i="3"/>
  <c r="O77" i="3"/>
  <c r="V77" i="3"/>
  <c r="X120" i="3"/>
  <c r="Y120" i="3"/>
  <c r="V119" i="3"/>
  <c r="Y119" i="3"/>
  <c r="X108" i="3"/>
  <c r="V108" i="3"/>
  <c r="X113" i="3"/>
  <c r="V113" i="3"/>
  <c r="X116" i="3"/>
  <c r="V116" i="3"/>
  <c r="X109" i="3"/>
  <c r="V109" i="3"/>
  <c r="V120" i="3"/>
  <c r="Y109" i="3"/>
  <c r="X112" i="3"/>
  <c r="V112" i="3"/>
  <c r="X106" i="3"/>
  <c r="V106" i="3"/>
  <c r="X110" i="3"/>
  <c r="V110" i="3"/>
  <c r="X119" i="3"/>
  <c r="Y116" i="3"/>
  <c r="Y108" i="3"/>
  <c r="X105" i="3"/>
  <c r="V105" i="3"/>
  <c r="Y112" i="3"/>
  <c r="X107" i="3"/>
  <c r="V107" i="3"/>
  <c r="X111" i="3"/>
  <c r="V111" i="3"/>
  <c r="X118" i="3"/>
  <c r="V118" i="3"/>
  <c r="Y107" i="3"/>
  <c r="X115" i="3"/>
  <c r="V115" i="3"/>
  <c r="X114" i="3"/>
  <c r="V114" i="3"/>
  <c r="X117" i="3"/>
  <c r="V117" i="3"/>
  <c r="Y114" i="3"/>
  <c r="Y106" i="3"/>
</calcChain>
</file>

<file path=xl/sharedStrings.xml><?xml version="1.0" encoding="utf-8"?>
<sst xmlns="http://schemas.openxmlformats.org/spreadsheetml/2006/main" count="1822" uniqueCount="715">
  <si>
    <t xml:space="preserve">Project </t>
  </si>
  <si>
    <t>Experiment #</t>
  </si>
  <si>
    <t>Vessel</t>
  </si>
  <si>
    <t>ID</t>
  </si>
  <si>
    <t>Mass confirmed</t>
  </si>
  <si>
    <t>UNIFI#</t>
  </si>
  <si>
    <t>FB ID</t>
  </si>
  <si>
    <t>Clone</t>
  </si>
  <si>
    <t>Harvest date</t>
  </si>
  <si>
    <t>UP#</t>
  </si>
  <si>
    <t>Upstream Octet Harvest titer (g/L)</t>
  </si>
  <si>
    <t>Octet by PD (g/L)</t>
  </si>
  <si>
    <t>ProAqa Harvest Titer (g/L)</t>
  </si>
  <si>
    <t>A280 / ProAqa Recovery %</t>
  </si>
  <si>
    <t>Purification recovery A280 (g/L)</t>
  </si>
  <si>
    <t>ProA eluate A280 conc (mg/ml)</t>
  </si>
  <si>
    <t>ProA eluate volume (ml)</t>
  </si>
  <si>
    <t>HCCF loading volume (ml)</t>
  </si>
  <si>
    <t>Main Peak Ratio (IEX)</t>
  </si>
  <si>
    <t>ProA column size(mL)</t>
  </si>
  <si>
    <t>protein A conc</t>
  </si>
  <si>
    <t>Note</t>
  </si>
  <si>
    <t>SI-1X20</t>
  </si>
  <si>
    <t>E05</t>
  </si>
  <si>
    <t>SF</t>
  </si>
  <si>
    <t>11E8</t>
  </si>
  <si>
    <t>UP0001</t>
  </si>
  <si>
    <t>UP0002</t>
  </si>
  <si>
    <t>UP0003</t>
  </si>
  <si>
    <t>UP0004</t>
  </si>
  <si>
    <t>UP0005</t>
  </si>
  <si>
    <t>UP0006</t>
  </si>
  <si>
    <t>UP0007</t>
  </si>
  <si>
    <t>UP0008</t>
  </si>
  <si>
    <t>UP0009</t>
  </si>
  <si>
    <t>UP0010</t>
  </si>
  <si>
    <t>UP0011</t>
  </si>
  <si>
    <t>UP0012</t>
  </si>
  <si>
    <t>UP0013</t>
  </si>
  <si>
    <t>UP0014</t>
  </si>
  <si>
    <t>UP0015</t>
  </si>
  <si>
    <t>UP0016</t>
  </si>
  <si>
    <t>UP0017</t>
  </si>
  <si>
    <t>UP0018</t>
  </si>
  <si>
    <t>UP0019</t>
  </si>
  <si>
    <t>BRX</t>
  </si>
  <si>
    <t>UP0020</t>
  </si>
  <si>
    <t>UP0021</t>
  </si>
  <si>
    <t>UP0022</t>
  </si>
  <si>
    <t>UP0023</t>
  </si>
  <si>
    <t>UP0024</t>
  </si>
  <si>
    <t>UP0025</t>
  </si>
  <si>
    <t>E06</t>
  </si>
  <si>
    <t>UP0026</t>
  </si>
  <si>
    <t>UP0027</t>
  </si>
  <si>
    <t>UP0028</t>
  </si>
  <si>
    <t>UP0029</t>
  </si>
  <si>
    <t>UP0030</t>
  </si>
  <si>
    <t>UP0031</t>
  </si>
  <si>
    <t>UP0032</t>
  </si>
  <si>
    <t>E07</t>
  </si>
  <si>
    <t>UP0033</t>
  </si>
  <si>
    <t>UP0034</t>
  </si>
  <si>
    <t>UP0035</t>
  </si>
  <si>
    <t>UP0036</t>
  </si>
  <si>
    <t>UP0037</t>
  </si>
  <si>
    <t>E08</t>
  </si>
  <si>
    <t>08/07-08-11</t>
  </si>
  <si>
    <t>UP0038</t>
  </si>
  <si>
    <t>UP0039</t>
  </si>
  <si>
    <t>UP0040</t>
  </si>
  <si>
    <t>UP0041</t>
  </si>
  <si>
    <t>UP0042</t>
  </si>
  <si>
    <t>UP0043</t>
  </si>
  <si>
    <t>UP0044</t>
  </si>
  <si>
    <t>UP0045</t>
  </si>
  <si>
    <t>E09</t>
  </si>
  <si>
    <t>UP0046</t>
  </si>
  <si>
    <t>UP0047</t>
  </si>
  <si>
    <t>UP0048</t>
  </si>
  <si>
    <t>UP0049</t>
  </si>
  <si>
    <t>UP0050</t>
  </si>
  <si>
    <t>E10</t>
  </si>
  <si>
    <t>UP0051</t>
  </si>
  <si>
    <t>UP0052</t>
  </si>
  <si>
    <t>UP0053</t>
  </si>
  <si>
    <t>UP0054</t>
  </si>
  <si>
    <t>UP0055</t>
  </si>
  <si>
    <t>UP0056</t>
  </si>
  <si>
    <t>UP0057</t>
  </si>
  <si>
    <t>E11</t>
  </si>
  <si>
    <t>UP0058</t>
  </si>
  <si>
    <t>UP0059</t>
  </si>
  <si>
    <t>UP0060</t>
  </si>
  <si>
    <t>UP0061</t>
  </si>
  <si>
    <t>UP0062</t>
  </si>
  <si>
    <t>UP0063</t>
  </si>
  <si>
    <t>UP0064</t>
  </si>
  <si>
    <t>UP0065</t>
  </si>
  <si>
    <t>UP0066</t>
  </si>
  <si>
    <t>SI-83E9</t>
  </si>
  <si>
    <t>E12</t>
  </si>
  <si>
    <t>13G10</t>
  </si>
  <si>
    <t>UP0067</t>
  </si>
  <si>
    <t>UP0068</t>
  </si>
  <si>
    <t>UP0069</t>
  </si>
  <si>
    <t>18C3</t>
  </si>
  <si>
    <t>UP0070</t>
  </si>
  <si>
    <t>UP0071</t>
  </si>
  <si>
    <t>UP0072</t>
  </si>
  <si>
    <t>22G5</t>
  </si>
  <si>
    <t>UP0073</t>
  </si>
  <si>
    <t>UP0074</t>
  </si>
  <si>
    <t>UP0075</t>
  </si>
  <si>
    <t>9E8</t>
  </si>
  <si>
    <t>UP0076</t>
  </si>
  <si>
    <t>NA - not saved</t>
  </si>
  <si>
    <t>UP0077</t>
  </si>
  <si>
    <t>UP0078</t>
  </si>
  <si>
    <t>8C5</t>
  </si>
  <si>
    <t>UP0079</t>
  </si>
  <si>
    <t>UP0080</t>
  </si>
  <si>
    <t>UP0081</t>
  </si>
  <si>
    <t>20E8</t>
  </si>
  <si>
    <t>UP0082</t>
  </si>
  <si>
    <t>UP0083</t>
  </si>
  <si>
    <t>UP0084</t>
  </si>
  <si>
    <t>27F3</t>
  </si>
  <si>
    <t>UP0085</t>
  </si>
  <si>
    <t>UP0086</t>
  </si>
  <si>
    <t>UP0087</t>
  </si>
  <si>
    <t>25D6</t>
  </si>
  <si>
    <t>UP0088</t>
  </si>
  <si>
    <t>UP0089</t>
  </si>
  <si>
    <t>UP0090</t>
  </si>
  <si>
    <t>UP0091</t>
  </si>
  <si>
    <t>UP0092</t>
  </si>
  <si>
    <t>UP0093</t>
  </si>
  <si>
    <t>E13</t>
  </si>
  <si>
    <t>UP0094</t>
  </si>
  <si>
    <t>UP0095</t>
  </si>
  <si>
    <t>UP0096</t>
  </si>
  <si>
    <t>UP0097</t>
  </si>
  <si>
    <t>UP0098</t>
  </si>
  <si>
    <t>UP0099</t>
  </si>
  <si>
    <t>UP0100</t>
  </si>
  <si>
    <t>UP0101</t>
  </si>
  <si>
    <t>UP0102</t>
  </si>
  <si>
    <t>UP0103</t>
  </si>
  <si>
    <t>UP0104</t>
  </si>
  <si>
    <t>UP0105</t>
  </si>
  <si>
    <t>UP0106</t>
  </si>
  <si>
    <t>E14</t>
  </si>
  <si>
    <t>1 - D10</t>
  </si>
  <si>
    <t>UP0107</t>
  </si>
  <si>
    <t>2 - D10</t>
  </si>
  <si>
    <t>UP0108</t>
  </si>
  <si>
    <t>3 - D10</t>
  </si>
  <si>
    <t>UP0109</t>
  </si>
  <si>
    <t>4 - D10</t>
  </si>
  <si>
    <t>UP0110</t>
  </si>
  <si>
    <t xml:space="preserve">  </t>
  </si>
  <si>
    <t>1 - D13</t>
  </si>
  <si>
    <t>UP0111</t>
  </si>
  <si>
    <t>2 - D13</t>
  </si>
  <si>
    <t>UP0112</t>
  </si>
  <si>
    <t>3 - D15</t>
  </si>
  <si>
    <t>UP0113</t>
  </si>
  <si>
    <t>4 - D15</t>
  </si>
  <si>
    <t>UP0114</t>
  </si>
  <si>
    <t>SI-82P5</t>
  </si>
  <si>
    <t>E15</t>
  </si>
  <si>
    <t>841</t>
  </si>
  <si>
    <t>22D3</t>
  </si>
  <si>
    <t>UP0115</t>
  </si>
  <si>
    <t>Pooled 115 and 116</t>
  </si>
  <si>
    <t>UP0116</t>
  </si>
  <si>
    <t>E16</t>
  </si>
  <si>
    <t>823</t>
  </si>
  <si>
    <t>UP0117</t>
  </si>
  <si>
    <t>UP0118</t>
  </si>
  <si>
    <t>UP0119</t>
  </si>
  <si>
    <t>UP0120</t>
  </si>
  <si>
    <t>UP0121</t>
  </si>
  <si>
    <t>UP0122</t>
  </si>
  <si>
    <t>UP0123</t>
  </si>
  <si>
    <t>UP0124</t>
  </si>
  <si>
    <t>E17</t>
  </si>
  <si>
    <t>768</t>
  </si>
  <si>
    <t>UP0125</t>
  </si>
  <si>
    <t>UP0126</t>
  </si>
  <si>
    <t>UP0127</t>
  </si>
  <si>
    <t>UP0128</t>
  </si>
  <si>
    <t>UP0129</t>
  </si>
  <si>
    <t>UP0130</t>
  </si>
  <si>
    <t>824</t>
  </si>
  <si>
    <t>UP0131</t>
  </si>
  <si>
    <t>UP0132</t>
  </si>
  <si>
    <t>UP0133</t>
  </si>
  <si>
    <t>UP0134</t>
  </si>
  <si>
    <t>UP0135</t>
  </si>
  <si>
    <t>UP0136</t>
  </si>
  <si>
    <t>821</t>
  </si>
  <si>
    <t>15B7</t>
  </si>
  <si>
    <t>UP0137</t>
  </si>
  <si>
    <t>UP0138</t>
  </si>
  <si>
    <t>UP0139</t>
  </si>
  <si>
    <t>UP0140</t>
  </si>
  <si>
    <t>UP0141</t>
  </si>
  <si>
    <t>UP0142</t>
  </si>
  <si>
    <t>E18</t>
  </si>
  <si>
    <t>UP0143</t>
  </si>
  <si>
    <t>UP0144</t>
  </si>
  <si>
    <t>SI-82P6</t>
  </si>
  <si>
    <t>E19</t>
  </si>
  <si>
    <t>18E4'</t>
  </si>
  <si>
    <t>UP0154</t>
  </si>
  <si>
    <t>PRA (platform): precipitation cake bottom of tube</t>
  </si>
  <si>
    <t>5E4'</t>
  </si>
  <si>
    <t>UP0155</t>
  </si>
  <si>
    <t>PRA (platform): precipitation cake bottom of tube, filtation: filter clog x1</t>
  </si>
  <si>
    <t>2D4</t>
  </si>
  <si>
    <t>UP0156</t>
  </si>
  <si>
    <t>1D7</t>
  </si>
  <si>
    <t>UP0201</t>
  </si>
  <si>
    <t xml:space="preserve">Harvested one day after rest of E19, </t>
  </si>
  <si>
    <t>20A6</t>
  </si>
  <si>
    <t>UP0158</t>
  </si>
  <si>
    <t>PRA:okay (screening PRA)</t>
  </si>
  <si>
    <t>27C6</t>
  </si>
  <si>
    <t>UP0159</t>
  </si>
  <si>
    <t>26D11</t>
  </si>
  <si>
    <t>UP0160</t>
  </si>
  <si>
    <t>4D9</t>
  </si>
  <si>
    <t>UP0161</t>
  </si>
  <si>
    <t>PRA (platform):okay</t>
  </si>
  <si>
    <t>E20</t>
  </si>
  <si>
    <t>UP0162</t>
  </si>
  <si>
    <t>UP0163</t>
  </si>
  <si>
    <t>UP0164</t>
  </si>
  <si>
    <t>UP0165</t>
  </si>
  <si>
    <t>UP0166</t>
  </si>
  <si>
    <t>UP0167</t>
  </si>
  <si>
    <t>UP0168</t>
  </si>
  <si>
    <t>UP0169</t>
  </si>
  <si>
    <t>UP0170</t>
  </si>
  <si>
    <t>UP0171</t>
  </si>
  <si>
    <t>UP0172</t>
  </si>
  <si>
    <t>UP0173</t>
  </si>
  <si>
    <t>UP0174</t>
  </si>
  <si>
    <t>UP0175</t>
  </si>
  <si>
    <t>UP0176</t>
  </si>
  <si>
    <t>UP0177</t>
  </si>
  <si>
    <t>UP0178</t>
  </si>
  <si>
    <t>UP0179</t>
  </si>
  <si>
    <t>UP0180</t>
  </si>
  <si>
    <t>UP0181</t>
  </si>
  <si>
    <t>UP0182</t>
  </si>
  <si>
    <t>UP0183</t>
  </si>
  <si>
    <t>UP0184</t>
  </si>
  <si>
    <t>UP0185</t>
  </si>
  <si>
    <t>E21</t>
  </si>
  <si>
    <t>UP0186</t>
  </si>
  <si>
    <t>UP0187</t>
  </si>
  <si>
    <t>UP0188</t>
  </si>
  <si>
    <t>UP0189</t>
  </si>
  <si>
    <t>UP0190</t>
  </si>
  <si>
    <t>UP0191</t>
  </si>
  <si>
    <t>UP0192</t>
  </si>
  <si>
    <t>UP0193</t>
  </si>
  <si>
    <t>UP0194</t>
  </si>
  <si>
    <t>UP0195</t>
  </si>
  <si>
    <t>UP0196</t>
  </si>
  <si>
    <t>UP0197</t>
  </si>
  <si>
    <t>E22</t>
  </si>
  <si>
    <t>UP0198</t>
  </si>
  <si>
    <t>UP0199</t>
  </si>
  <si>
    <t>UP0200</t>
  </si>
  <si>
    <t>UP0157</t>
  </si>
  <si>
    <t>Was Harvested D10 with E19</t>
  </si>
  <si>
    <t>UP0202</t>
  </si>
  <si>
    <t>UP0203</t>
  </si>
  <si>
    <t>UP0272</t>
  </si>
  <si>
    <t>UP0273</t>
  </si>
  <si>
    <t>UP0274</t>
  </si>
  <si>
    <t>UP0275</t>
  </si>
  <si>
    <t>UP0276</t>
  </si>
  <si>
    <t>UP0277</t>
  </si>
  <si>
    <t>UP0278</t>
  </si>
  <si>
    <t>UP0279</t>
  </si>
  <si>
    <t>UP0280</t>
  </si>
  <si>
    <t>UP0281</t>
  </si>
  <si>
    <t>UP0282</t>
  </si>
  <si>
    <t>UP0283</t>
  </si>
  <si>
    <t>UP0284</t>
  </si>
  <si>
    <t>UP0285</t>
  </si>
  <si>
    <t>UP0286</t>
  </si>
  <si>
    <t>UP0287</t>
  </si>
  <si>
    <t>UP0288</t>
  </si>
  <si>
    <t>UP0289</t>
  </si>
  <si>
    <t>UP0290</t>
  </si>
  <si>
    <t>UP0291</t>
  </si>
  <si>
    <t>UP0292</t>
  </si>
  <si>
    <t>UP0293</t>
  </si>
  <si>
    <t>UP0294</t>
  </si>
  <si>
    <t>UP0295</t>
  </si>
  <si>
    <t>Old UPFB Number (do not use)</t>
  </si>
  <si>
    <t>Bottle Label</t>
  </si>
  <si>
    <t>UPFB#</t>
  </si>
  <si>
    <t>ProAqa Eluate Conc. (mg/mL)</t>
  </si>
  <si>
    <t>Resin Loading</t>
  </si>
  <si>
    <t>E23</t>
  </si>
  <si>
    <t>UP0204</t>
  </si>
  <si>
    <t>UP0205</t>
  </si>
  <si>
    <t>UP0206</t>
  </si>
  <si>
    <t>UP0207</t>
  </si>
  <si>
    <t>UP0208</t>
  </si>
  <si>
    <t>UP0209</t>
  </si>
  <si>
    <t>UP0210</t>
  </si>
  <si>
    <t>UP0211</t>
  </si>
  <si>
    <t>UP0212</t>
  </si>
  <si>
    <t>UP0213</t>
  </si>
  <si>
    <t>UP0214</t>
  </si>
  <si>
    <t>UP0215</t>
  </si>
  <si>
    <t>UP0216</t>
  </si>
  <si>
    <t>UP0217</t>
  </si>
  <si>
    <t>UP0218</t>
  </si>
  <si>
    <t>UP0219</t>
  </si>
  <si>
    <t>UP0220</t>
  </si>
  <si>
    <t>UP0221</t>
  </si>
  <si>
    <t>UP0222</t>
  </si>
  <si>
    <t>UP0223</t>
  </si>
  <si>
    <t>UP0224</t>
  </si>
  <si>
    <t>UP0225</t>
  </si>
  <si>
    <t>UP0226</t>
  </si>
  <si>
    <t>UP0227</t>
  </si>
  <si>
    <t>E24</t>
  </si>
  <si>
    <t>UP0228</t>
  </si>
  <si>
    <t>UP0229</t>
  </si>
  <si>
    <t>UP0230</t>
  </si>
  <si>
    <t>UP0231</t>
  </si>
  <si>
    <t>E25</t>
  </si>
  <si>
    <t>UP0232</t>
  </si>
  <si>
    <t>UP0233</t>
  </si>
  <si>
    <t>UP0234</t>
  </si>
  <si>
    <t>UP0235</t>
  </si>
  <si>
    <t>UP0236</t>
  </si>
  <si>
    <t>UP0237</t>
  </si>
  <si>
    <t>UP0238</t>
  </si>
  <si>
    <t>N/A</t>
  </si>
  <si>
    <t>UP0239</t>
  </si>
  <si>
    <t>UP0240</t>
  </si>
  <si>
    <t>UP0241</t>
  </si>
  <si>
    <t>UP0242</t>
  </si>
  <si>
    <t>UP0243</t>
  </si>
  <si>
    <t>UP0244</t>
  </si>
  <si>
    <t>UP0245</t>
  </si>
  <si>
    <t>UP0246</t>
  </si>
  <si>
    <t>UP0247</t>
  </si>
  <si>
    <t>UP0248</t>
  </si>
  <si>
    <t>UP0249</t>
  </si>
  <si>
    <t>UP0250</t>
  </si>
  <si>
    <t>UP0251</t>
  </si>
  <si>
    <t>UP0252</t>
  </si>
  <si>
    <t>UP0253</t>
  </si>
  <si>
    <t>UP0254</t>
  </si>
  <si>
    <t>UP0255</t>
  </si>
  <si>
    <t>UP0256</t>
  </si>
  <si>
    <t>UP0257</t>
  </si>
  <si>
    <t>E26</t>
  </si>
  <si>
    <t>UP0258</t>
  </si>
  <si>
    <t>UP0259</t>
  </si>
  <si>
    <t>UP0260</t>
  </si>
  <si>
    <t>UP0261</t>
  </si>
  <si>
    <t>UP0262</t>
  </si>
  <si>
    <t>E28</t>
  </si>
  <si>
    <t>UP0263</t>
  </si>
  <si>
    <t>UP0264</t>
  </si>
  <si>
    <t>SI-83E10</t>
  </si>
  <si>
    <t>E29</t>
  </si>
  <si>
    <t>30E7</t>
  </si>
  <si>
    <t>UP0265</t>
  </si>
  <si>
    <t>UP0266</t>
  </si>
  <si>
    <t>26D7</t>
  </si>
  <si>
    <t>UP0267</t>
  </si>
  <si>
    <t>UP0268</t>
  </si>
  <si>
    <t>28B11</t>
  </si>
  <si>
    <t>UP0269</t>
  </si>
  <si>
    <t>UP0270</t>
  </si>
  <si>
    <t>E27</t>
  </si>
  <si>
    <t>UP0271</t>
  </si>
  <si>
    <t>E30</t>
  </si>
  <si>
    <t>SI-77P36</t>
  </si>
  <si>
    <t>UP0280-Fibro</t>
  </si>
  <si>
    <t>Fibro Test</t>
  </si>
  <si>
    <t>UP0281-Fibro</t>
  </si>
  <si>
    <t>UP0282-Fibro</t>
  </si>
  <si>
    <t>UP0283-Fibro</t>
  </si>
  <si>
    <t>UP0284-Fibro</t>
  </si>
  <si>
    <t>UP0286-Day11</t>
  </si>
  <si>
    <t>UP0287-Day11</t>
  </si>
  <si>
    <t>UP0288-Day11</t>
  </si>
  <si>
    <t>UP0289-Day11</t>
  </si>
  <si>
    <t>UP0286-Fibro</t>
  </si>
  <si>
    <t>UP0287-Fibro</t>
  </si>
  <si>
    <t>UP0288-Fibro</t>
  </si>
  <si>
    <t>UP0289-Fibro</t>
  </si>
  <si>
    <t>None</t>
  </si>
  <si>
    <t>SI-125R1</t>
  </si>
  <si>
    <t>UP0296</t>
  </si>
  <si>
    <t>UP0297</t>
  </si>
  <si>
    <t>UP0298</t>
  </si>
  <si>
    <t>UP0299</t>
  </si>
  <si>
    <t>UP0300</t>
  </si>
  <si>
    <t>UP0301</t>
  </si>
  <si>
    <t>UP0302</t>
  </si>
  <si>
    <t>UP0303</t>
  </si>
  <si>
    <t>UP0304</t>
  </si>
  <si>
    <t>UP0305</t>
  </si>
  <si>
    <t>UP0306</t>
  </si>
  <si>
    <t>UP0307</t>
  </si>
  <si>
    <t>UP0308</t>
  </si>
  <si>
    <t>UP0309</t>
  </si>
  <si>
    <t>UP0310</t>
  </si>
  <si>
    <t>UP0311</t>
  </si>
  <si>
    <t>UP0312</t>
  </si>
  <si>
    <t>UP0313</t>
  </si>
  <si>
    <t>UP0314</t>
  </si>
  <si>
    <t>SI-50E15</t>
  </si>
  <si>
    <t xml:space="preserve">BRX </t>
  </si>
  <si>
    <t>UP0318</t>
  </si>
  <si>
    <t>11C9</t>
  </si>
  <si>
    <t>UP0319</t>
  </si>
  <si>
    <t>UP0320</t>
  </si>
  <si>
    <t>17C8</t>
  </si>
  <si>
    <t>UP0321</t>
  </si>
  <si>
    <t>6D8</t>
  </si>
  <si>
    <t>UP0322</t>
  </si>
  <si>
    <t>UP0323</t>
  </si>
  <si>
    <t>UP0324</t>
  </si>
  <si>
    <t>UP0325</t>
  </si>
  <si>
    <t>18C4</t>
  </si>
  <si>
    <t>UP0326</t>
  </si>
  <si>
    <t>UP0327</t>
  </si>
  <si>
    <t>UP0328</t>
  </si>
  <si>
    <t>UP0329</t>
  </si>
  <si>
    <t>UP0330</t>
  </si>
  <si>
    <t>UP0331</t>
  </si>
  <si>
    <t>UP0332</t>
  </si>
  <si>
    <t>UP0333</t>
  </si>
  <si>
    <t>UP0334</t>
  </si>
  <si>
    <t>UP0335</t>
  </si>
  <si>
    <t>UP0336</t>
  </si>
  <si>
    <t>UP0337</t>
  </si>
  <si>
    <t>UP0338</t>
  </si>
  <si>
    <t>UP0339</t>
  </si>
  <si>
    <t>UP0340</t>
  </si>
  <si>
    <t>UP0343</t>
  </si>
  <si>
    <t>UP0344</t>
  </si>
  <si>
    <t>UP0345</t>
  </si>
  <si>
    <t>UP0346</t>
  </si>
  <si>
    <t>UP0347</t>
  </si>
  <si>
    <t>UP0348</t>
  </si>
  <si>
    <t>UP0349</t>
  </si>
  <si>
    <t>UP0350</t>
  </si>
  <si>
    <t>UP0351</t>
  </si>
  <si>
    <t>UP0352</t>
  </si>
  <si>
    <t>UP0353</t>
  </si>
  <si>
    <t>UP0354</t>
  </si>
  <si>
    <t>UP0355</t>
  </si>
  <si>
    <t>UP0356</t>
  </si>
  <si>
    <t>UP0357</t>
  </si>
  <si>
    <t>UP0358</t>
  </si>
  <si>
    <t>UP0359</t>
  </si>
  <si>
    <t>UP0360</t>
  </si>
  <si>
    <t>UP0361</t>
  </si>
  <si>
    <t>UP0362</t>
  </si>
  <si>
    <t>UP0363</t>
  </si>
  <si>
    <t>UP0364</t>
  </si>
  <si>
    <t>UP0365</t>
  </si>
  <si>
    <t>SI-103C4</t>
  </si>
  <si>
    <t>1B9</t>
  </si>
  <si>
    <t>UP0367</t>
  </si>
  <si>
    <t>UP0368</t>
  </si>
  <si>
    <t>3E9</t>
  </si>
  <si>
    <t>UP0369</t>
  </si>
  <si>
    <t>4C3</t>
  </si>
  <si>
    <t>UP0370</t>
  </si>
  <si>
    <t>7E8</t>
  </si>
  <si>
    <t>UP0371</t>
  </si>
  <si>
    <t>7F8</t>
  </si>
  <si>
    <t>UP0372</t>
  </si>
  <si>
    <t>UP0373</t>
  </si>
  <si>
    <t>1D8</t>
  </si>
  <si>
    <t>UP0374</t>
  </si>
  <si>
    <t>UP0375</t>
  </si>
  <si>
    <t>UP0376</t>
  </si>
  <si>
    <t>UP0377</t>
  </si>
  <si>
    <t>UP0378</t>
  </si>
  <si>
    <t>UP0379</t>
  </si>
  <si>
    <t>UP0380</t>
  </si>
  <si>
    <t>UP0380 D12</t>
  </si>
  <si>
    <t>UP0380 D13</t>
  </si>
  <si>
    <t>UP0380 D14</t>
  </si>
  <si>
    <t>UP0381</t>
  </si>
  <si>
    <t>UP0382</t>
  </si>
  <si>
    <t>UP0383</t>
  </si>
  <si>
    <t>UP0384</t>
  </si>
  <si>
    <t>UP0385 D7</t>
  </si>
  <si>
    <t>UP0386 D7</t>
  </si>
  <si>
    <t>UP0387 D7</t>
  </si>
  <si>
    <t>UP0388 D7</t>
  </si>
  <si>
    <t>UP0389 D7</t>
  </si>
  <si>
    <t>UP0390 D7</t>
  </si>
  <si>
    <t>UP0391 D7</t>
  </si>
  <si>
    <t>UP0392 D7</t>
  </si>
  <si>
    <t>UP0393 D7</t>
  </si>
  <si>
    <t>UP0385 D12</t>
  </si>
  <si>
    <t>UP0386 D12</t>
  </si>
  <si>
    <t>UP0387 D12</t>
  </si>
  <si>
    <t>UP0389 D12</t>
  </si>
  <si>
    <t>UP0390 D12</t>
  </si>
  <si>
    <t>UP0392 D12</t>
  </si>
  <si>
    <t>UP0393 D12</t>
  </si>
  <si>
    <t>UP0385 D15</t>
  </si>
  <si>
    <t>UP0386 D15</t>
  </si>
  <si>
    <t>UP0387 D15</t>
  </si>
  <si>
    <t>UP0389 D15</t>
  </si>
  <si>
    <t>UP0390 D15</t>
  </si>
  <si>
    <t>UP0392 D15</t>
  </si>
  <si>
    <t>UP0393 D15</t>
  </si>
  <si>
    <t>UP0394</t>
  </si>
  <si>
    <t>UP0395</t>
  </si>
  <si>
    <t>UP0396</t>
  </si>
  <si>
    <t>UP0397</t>
  </si>
  <si>
    <t>UP0398</t>
  </si>
  <si>
    <t>UP0399</t>
  </si>
  <si>
    <t>UP0400</t>
  </si>
  <si>
    <t>UP0401</t>
  </si>
  <si>
    <t>UP0402</t>
  </si>
  <si>
    <t>UP0403</t>
  </si>
  <si>
    <t>UP0404</t>
  </si>
  <si>
    <t>UP0405</t>
  </si>
  <si>
    <t>SI-1</t>
  </si>
  <si>
    <t>2F1</t>
  </si>
  <si>
    <t>UP0406</t>
  </si>
  <si>
    <t>4A10</t>
  </si>
  <si>
    <t>UP0407</t>
  </si>
  <si>
    <t>6A5</t>
  </si>
  <si>
    <t>UP0408</t>
  </si>
  <si>
    <t>6C12</t>
  </si>
  <si>
    <t>UP0409</t>
  </si>
  <si>
    <t>6F5</t>
  </si>
  <si>
    <t>UP0410</t>
  </si>
  <si>
    <t>6G7</t>
  </si>
  <si>
    <t>UP0411</t>
  </si>
  <si>
    <t>7D4</t>
  </si>
  <si>
    <t>UP0412</t>
  </si>
  <si>
    <t>7E7</t>
  </si>
  <si>
    <t>UP0413</t>
  </si>
  <si>
    <t>8E3</t>
  </si>
  <si>
    <t>UP0414</t>
  </si>
  <si>
    <t>8E7</t>
  </si>
  <si>
    <t>UP0415</t>
  </si>
  <si>
    <t>12E7</t>
  </si>
  <si>
    <t>UP0416</t>
  </si>
  <si>
    <t>13E9</t>
  </si>
  <si>
    <t>UP0417</t>
  </si>
  <si>
    <t>16C1</t>
  </si>
  <si>
    <t>UP0418</t>
  </si>
  <si>
    <t>6C8</t>
  </si>
  <si>
    <t>UP0419</t>
  </si>
  <si>
    <t>UP0420</t>
  </si>
  <si>
    <t>UP0421</t>
  </si>
  <si>
    <t>UP0422</t>
  </si>
  <si>
    <t>UP0423</t>
  </si>
  <si>
    <t>UP0424</t>
  </si>
  <si>
    <t>UP0425</t>
  </si>
  <si>
    <t>UP0426</t>
  </si>
  <si>
    <t>UP0427</t>
  </si>
  <si>
    <t>SI-49T5</t>
  </si>
  <si>
    <t>1A2</t>
  </si>
  <si>
    <t>UP0428</t>
  </si>
  <si>
    <t>1B2</t>
  </si>
  <si>
    <t>UP0429</t>
  </si>
  <si>
    <t>1F3</t>
  </si>
  <si>
    <t>UP0430</t>
  </si>
  <si>
    <t>14D4</t>
  </si>
  <si>
    <t>UP0431</t>
  </si>
  <si>
    <t>21B12</t>
  </si>
  <si>
    <t>UP0432</t>
  </si>
  <si>
    <t>25H8</t>
  </si>
  <si>
    <t>UP0433</t>
  </si>
  <si>
    <t>UP0434</t>
  </si>
  <si>
    <t>UP0435</t>
  </si>
  <si>
    <t>UP0436</t>
  </si>
  <si>
    <t>UP0437</t>
  </si>
  <si>
    <t>UP0438</t>
  </si>
  <si>
    <t>UP0439</t>
  </si>
  <si>
    <t>UP0440</t>
  </si>
  <si>
    <t>11E8'</t>
  </si>
  <si>
    <t>UP0441</t>
  </si>
  <si>
    <t>UP0442</t>
  </si>
  <si>
    <t>UP0443</t>
  </si>
  <si>
    <t>UP0444</t>
  </si>
  <si>
    <t>UP0445</t>
  </si>
  <si>
    <t>UP0446</t>
  </si>
  <si>
    <t>UP447</t>
  </si>
  <si>
    <t>UP448</t>
  </si>
  <si>
    <t>UP449</t>
  </si>
  <si>
    <t>UP450</t>
  </si>
  <si>
    <t>UP451</t>
  </si>
  <si>
    <t>UP452</t>
  </si>
  <si>
    <t>UP453</t>
  </si>
  <si>
    <t>UP0454</t>
  </si>
  <si>
    <t>UP0455</t>
  </si>
  <si>
    <t>UP0456</t>
  </si>
  <si>
    <t>UP0457</t>
  </si>
  <si>
    <t>UP0458</t>
  </si>
  <si>
    <t>UP0459</t>
  </si>
  <si>
    <t>UP0460</t>
  </si>
  <si>
    <t>UP0461</t>
  </si>
  <si>
    <t>UP0462</t>
  </si>
  <si>
    <t>UP0463</t>
  </si>
  <si>
    <t>UP0464</t>
  </si>
  <si>
    <t>UP0465</t>
  </si>
  <si>
    <t>UP0466</t>
  </si>
  <si>
    <t>UP0467</t>
  </si>
  <si>
    <t>UP0468</t>
  </si>
  <si>
    <t>UP0469</t>
  </si>
  <si>
    <t>UP0470</t>
  </si>
  <si>
    <t>UP472</t>
  </si>
  <si>
    <t>UP473</t>
  </si>
  <si>
    <t>UP474</t>
  </si>
  <si>
    <t>UP475</t>
  </si>
  <si>
    <t>UP476</t>
  </si>
  <si>
    <t>UP477</t>
  </si>
  <si>
    <t>UP478</t>
  </si>
  <si>
    <t>1-1</t>
  </si>
  <si>
    <t>UP479</t>
  </si>
  <si>
    <t>1-2</t>
  </si>
  <si>
    <t>UP480</t>
  </si>
  <si>
    <t>UP481</t>
  </si>
  <si>
    <t>UP482</t>
  </si>
  <si>
    <t>UP483</t>
  </si>
  <si>
    <t>UP484</t>
  </si>
  <si>
    <t>UP485</t>
  </si>
  <si>
    <t>UP486</t>
  </si>
  <si>
    <t>UP487</t>
  </si>
  <si>
    <t>UP488</t>
  </si>
  <si>
    <t>UP489</t>
  </si>
  <si>
    <t>UP490</t>
  </si>
  <si>
    <t>UP491</t>
  </si>
  <si>
    <t>NA</t>
  </si>
  <si>
    <t>UP492</t>
  </si>
  <si>
    <t>UP493</t>
  </si>
  <si>
    <t>SI-205X1</t>
  </si>
  <si>
    <t>USP0002</t>
  </si>
  <si>
    <t>UPFB0001</t>
  </si>
  <si>
    <t>UPFB0001 D14</t>
  </si>
  <si>
    <t>Bulk Pool</t>
  </si>
  <si>
    <t>UPFB0494</t>
  </si>
  <si>
    <t>UPFB0002</t>
  </si>
  <si>
    <t>UPFB0002 D14</t>
  </si>
  <si>
    <t>SI-212E11</t>
  </si>
  <si>
    <t>USP0003</t>
  </si>
  <si>
    <t>UPFB0004</t>
  </si>
  <si>
    <t>UPFB0004 D9</t>
  </si>
  <si>
    <t>UPFB0495</t>
  </si>
  <si>
    <t>SI-212T11</t>
  </si>
  <si>
    <t>UPFB0005</t>
  </si>
  <si>
    <t>UPFB0005D9</t>
  </si>
  <si>
    <t>UPFB0496</t>
  </si>
  <si>
    <t>SI-54X1</t>
  </si>
  <si>
    <t>USP0004</t>
  </si>
  <si>
    <t>UPFB0003</t>
  </si>
  <si>
    <t>UPFB0003 D14</t>
  </si>
  <si>
    <t>UPFB0497</t>
  </si>
  <si>
    <t>UPFB0004 D14</t>
  </si>
  <si>
    <t>UPFB0005D14</t>
  </si>
  <si>
    <t>UPFB0007</t>
  </si>
  <si>
    <t>UPFB0007 D14</t>
  </si>
  <si>
    <t>UPFB0500</t>
  </si>
  <si>
    <t>UPFB0008</t>
  </si>
  <si>
    <t>UPFB0008 D14</t>
  </si>
  <si>
    <t>UPFB0501</t>
  </si>
  <si>
    <t>USP0005</t>
  </si>
  <si>
    <t>BRX (3L)</t>
  </si>
  <si>
    <t>UPFB0009</t>
  </si>
  <si>
    <t>UPFB0502</t>
  </si>
  <si>
    <t>UPFB00010</t>
  </si>
  <si>
    <t>UPFB0503</t>
  </si>
  <si>
    <t>UPFB00011</t>
  </si>
  <si>
    <t>UPFB0504</t>
  </si>
  <si>
    <t>UPFB00012</t>
  </si>
  <si>
    <t>UPFB0505</t>
  </si>
  <si>
    <t>USP0008</t>
  </si>
  <si>
    <t>UPFB00013</t>
  </si>
  <si>
    <t>Bulk Pool ST537</t>
  </si>
  <si>
    <t>UPFB0506</t>
  </si>
  <si>
    <t>UPFB00014</t>
  </si>
  <si>
    <t>Bulk Pool ST538</t>
  </si>
  <si>
    <t>UPFB0507</t>
  </si>
  <si>
    <t>SI-207X6</t>
  </si>
  <si>
    <t>USP0006</t>
  </si>
  <si>
    <t>UPFB00015</t>
  </si>
  <si>
    <t>UPFB0508</t>
  </si>
  <si>
    <t>UPFB00016</t>
  </si>
  <si>
    <t>UPFB0509</t>
  </si>
  <si>
    <t>SI-212X16</t>
  </si>
  <si>
    <t>USP0007</t>
  </si>
  <si>
    <t>UPFB00017</t>
  </si>
  <si>
    <t>UPFB0510</t>
  </si>
  <si>
    <t>UPFB00018</t>
  </si>
  <si>
    <t>UPFB0511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</si>
</sst>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0.000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/>
      <top style="thin">
        <color theme="0" tint="-0.149998474074526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rgb="FF000000"/>
      </left>
      <right/>
      <top/>
      <bottom style="thin">
        <color theme="0" tint="-0.14999847407452621"/>
      </bottom>
      <diagonal/>
    </border>
    <border>
      <left style="medium">
        <color rgb="FF000000"/>
      </left>
      <right style="medium">
        <color rgb="FF000000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 style="thin">
        <color theme="0" tint="-0.14999847407452621"/>
      </top>
      <bottom/>
      <diagonal/>
    </border>
    <border>
      <left style="medium">
        <color rgb="FF000000"/>
      </left>
      <right style="medium">
        <color rgb="FF000000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medium">
        <color rgb="FF000000"/>
      </bottom>
      <diagonal/>
    </border>
    <border>
      <left/>
      <right style="thin">
        <color theme="0" tint="-0.14999847407452621"/>
      </right>
      <top style="medium">
        <color rgb="FF000000"/>
      </top>
      <bottom/>
      <diagonal/>
    </border>
    <border>
      <left style="thin">
        <color theme="0" tint="-0.14999847407452621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theme="0" tint="-0.14999847407452621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medium">
        <color rgb="FF000000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medium">
        <color rgb="FF000000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0" tint="-0.14999847407452621"/>
      </right>
      <top style="thin">
        <color rgb="FF000000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0" tint="-0.1499984740745262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 tint="-0.14999847407452621"/>
      </top>
      <bottom style="thin">
        <color rgb="FF000000"/>
      </bottom>
      <diagonal/>
    </border>
    <border>
      <left style="medium">
        <color rgb="FF000000"/>
      </left>
      <right/>
      <top style="thin">
        <color theme="0" tint="-0.1499984740745262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 style="medium">
        <color rgb="FF000000"/>
      </right>
      <top style="thin">
        <color theme="0" tint="-0.149998474074526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95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" fontId="4" fillId="0" borderId="14" xfId="0" applyNumberFormat="1" applyFont="1" applyBorder="1" applyAlignment="1">
      <alignment horizontal="center" vertical="center"/>
    </xf>
    <xf numFmtId="16" fontId="4" fillId="0" borderId="10" xfId="0" applyNumberFormat="1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16" fontId="4" fillId="0" borderId="16" xfId="0" applyNumberFormat="1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2" fontId="9" fillId="4" borderId="30" xfId="0" applyNumberFormat="1" applyFont="1" applyFill="1" applyBorder="1" applyAlignment="1">
      <alignment horizontal="center" vertical="center" wrapText="1"/>
    </xf>
    <xf numFmtId="2" fontId="11" fillId="2" borderId="30" xfId="0" applyNumberFormat="1" applyFont="1" applyFill="1" applyBorder="1" applyAlignment="1">
      <alignment horizontal="center" vertical="center" wrapText="1"/>
    </xf>
    <xf numFmtId="2" fontId="9" fillId="0" borderId="3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16" fontId="12" fillId="0" borderId="18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1" fontId="12" fillId="0" borderId="24" xfId="0" applyNumberFormat="1" applyFont="1" applyBorder="1" applyAlignment="1">
      <alignment horizontal="center" vertical="center"/>
    </xf>
    <xf numFmtId="166" fontId="12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16" fontId="12" fillId="0" borderId="19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16" fontId="12" fillId="0" borderId="36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2" fontId="12" fillId="0" borderId="3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2" fillId="0" borderId="28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2" fontId="12" fillId="0" borderId="34" xfId="0" applyNumberFormat="1" applyFont="1" applyBorder="1" applyAlignment="1">
      <alignment horizontal="center" vertical="center"/>
    </xf>
    <xf numFmtId="1" fontId="12" fillId="0" borderId="34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/>
    </xf>
    <xf numFmtId="165" fontId="12" fillId="0" borderId="18" xfId="0" applyNumberFormat="1" applyFont="1" applyBorder="1" applyAlignment="1">
      <alignment horizontal="center" vertical="center"/>
    </xf>
    <xf numFmtId="166" fontId="12" fillId="0" borderId="34" xfId="0" applyNumberFormat="1" applyFont="1" applyBorder="1" applyAlignment="1">
      <alignment horizontal="center"/>
    </xf>
    <xf numFmtId="0" fontId="12" fillId="0" borderId="70" xfId="0" applyFont="1" applyBorder="1"/>
    <xf numFmtId="0" fontId="12" fillId="0" borderId="22" xfId="0" applyFont="1" applyBorder="1"/>
    <xf numFmtId="165" fontId="12" fillId="0" borderId="19" xfId="0" applyNumberFormat="1" applyFont="1" applyBorder="1" applyAlignment="1">
      <alignment horizontal="center" vertical="center"/>
    </xf>
    <xf numFmtId="0" fontId="12" fillId="0" borderId="20" xfId="0" applyFont="1" applyBorder="1"/>
    <xf numFmtId="0" fontId="12" fillId="0" borderId="17" xfId="0" applyFont="1" applyBorder="1"/>
    <xf numFmtId="0" fontId="12" fillId="0" borderId="72" xfId="0" applyFont="1" applyBorder="1"/>
    <xf numFmtId="0" fontId="12" fillId="0" borderId="25" xfId="0" applyFont="1" applyBorder="1"/>
    <xf numFmtId="165" fontId="12" fillId="0" borderId="26" xfId="0" applyNumberFormat="1" applyFont="1" applyBorder="1" applyAlignment="1">
      <alignment horizontal="center" vertical="center"/>
    </xf>
    <xf numFmtId="0" fontId="12" fillId="0" borderId="27" xfId="0" applyFont="1" applyBorder="1"/>
    <xf numFmtId="0" fontId="12" fillId="0" borderId="37" xfId="0" applyFont="1" applyBorder="1" applyAlignment="1">
      <alignment horizontal="center" vertical="center"/>
    </xf>
    <xf numFmtId="166" fontId="12" fillId="0" borderId="37" xfId="0" applyNumberFormat="1" applyFont="1" applyBorder="1" applyAlignment="1">
      <alignment horizontal="center"/>
    </xf>
    <xf numFmtId="0" fontId="12" fillId="0" borderId="28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78" xfId="0" applyFont="1" applyBorder="1"/>
    <xf numFmtId="0" fontId="12" fillId="0" borderId="31" xfId="0" applyFont="1" applyBorder="1"/>
    <xf numFmtId="49" fontId="12" fillId="0" borderId="31" xfId="0" applyNumberFormat="1" applyFont="1" applyBorder="1" applyAlignment="1">
      <alignment horizontal="center"/>
    </xf>
    <xf numFmtId="16" fontId="12" fillId="0" borderId="32" xfId="0" applyNumberFormat="1" applyFont="1" applyBorder="1" applyAlignment="1">
      <alignment horizontal="center" vertical="center"/>
    </xf>
    <xf numFmtId="0" fontId="12" fillId="0" borderId="32" xfId="0" applyFont="1" applyBorder="1"/>
    <xf numFmtId="0" fontId="12" fillId="0" borderId="33" xfId="0" applyFont="1" applyBorder="1"/>
    <xf numFmtId="0" fontId="12" fillId="0" borderId="34" xfId="0" applyFont="1" applyBorder="1"/>
    <xf numFmtId="0" fontId="12" fillId="0" borderId="34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/>
    </xf>
    <xf numFmtId="0" fontId="12" fillId="0" borderId="19" xfId="0" applyFont="1" applyBorder="1"/>
    <xf numFmtId="0" fontId="12" fillId="0" borderId="17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/>
    </xf>
    <xf numFmtId="16" fontId="12" fillId="0" borderId="26" xfId="0" applyNumberFormat="1" applyFont="1" applyBorder="1" applyAlignment="1">
      <alignment horizontal="center" vertical="center"/>
    </xf>
    <xf numFmtId="0" fontId="12" fillId="0" borderId="26" xfId="0" applyFont="1" applyBorder="1"/>
    <xf numFmtId="0" fontId="12" fillId="0" borderId="28" xfId="0" applyFont="1" applyBorder="1" applyAlignment="1">
      <alignment horizontal="center"/>
    </xf>
    <xf numFmtId="49" fontId="12" fillId="0" borderId="31" xfId="0" applyNumberFormat="1" applyFont="1" applyBorder="1"/>
    <xf numFmtId="49" fontId="12" fillId="0" borderId="22" xfId="0" applyNumberFormat="1" applyFont="1" applyBorder="1"/>
    <xf numFmtId="49" fontId="12" fillId="0" borderId="25" xfId="0" applyNumberFormat="1" applyFont="1" applyBorder="1"/>
    <xf numFmtId="0" fontId="12" fillId="0" borderId="37" xfId="0" applyFont="1" applyBorder="1" applyAlignment="1">
      <alignment horizontal="center"/>
    </xf>
    <xf numFmtId="0" fontId="12" fillId="0" borderId="81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2" fillId="0" borderId="73" xfId="0" applyFont="1" applyBorder="1"/>
    <xf numFmtId="0" fontId="12" fillId="0" borderId="36" xfId="0" applyFont="1" applyBorder="1"/>
    <xf numFmtId="0" fontId="12" fillId="0" borderId="35" xfId="0" applyFont="1" applyBorder="1"/>
    <xf numFmtId="49" fontId="12" fillId="0" borderId="35" xfId="0" applyNumberFormat="1" applyFont="1" applyBorder="1"/>
    <xf numFmtId="0" fontId="12" fillId="0" borderId="83" xfId="0" applyFont="1" applyBorder="1" applyAlignment="1">
      <alignment horizontal="center" vertical="center"/>
    </xf>
    <xf numFmtId="0" fontId="12" fillId="0" borderId="29" xfId="0" applyFont="1" applyBorder="1"/>
    <xf numFmtId="0" fontId="12" fillId="0" borderId="30" xfId="0" applyFont="1" applyBorder="1"/>
    <xf numFmtId="0" fontId="12" fillId="0" borderId="71" xfId="0" applyFont="1" applyBorder="1"/>
    <xf numFmtId="0" fontId="12" fillId="0" borderId="18" xfId="0" applyFont="1" applyBorder="1"/>
    <xf numFmtId="0" fontId="12" fillId="0" borderId="21" xfId="0" applyFont="1" applyBorder="1"/>
    <xf numFmtId="49" fontId="12" fillId="0" borderId="21" xfId="0" applyNumberFormat="1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84" xfId="0" applyFont="1" applyBorder="1" applyAlignment="1">
      <alignment horizontal="center" vertical="center"/>
    </xf>
    <xf numFmtId="0" fontId="12" fillId="0" borderId="38" xfId="0" applyFont="1" applyBorder="1"/>
    <xf numFmtId="0" fontId="12" fillId="0" borderId="39" xfId="0" applyFont="1" applyBorder="1"/>
    <xf numFmtId="0" fontId="12" fillId="0" borderId="40" xfId="0" applyFont="1" applyBorder="1"/>
    <xf numFmtId="0" fontId="12" fillId="0" borderId="7" xfId="0" applyFont="1" applyBorder="1"/>
    <xf numFmtId="0" fontId="12" fillId="0" borderId="3" xfId="0" applyFont="1" applyBorder="1"/>
    <xf numFmtId="0" fontId="12" fillId="0" borderId="6" xfId="0" applyFont="1" applyBorder="1"/>
    <xf numFmtId="49" fontId="12" fillId="0" borderId="6" xfId="0" applyNumberFormat="1" applyFont="1" applyBorder="1"/>
    <xf numFmtId="0" fontId="12" fillId="0" borderId="7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readingOrder="1"/>
    </xf>
    <xf numFmtId="0" fontId="12" fillId="0" borderId="43" xfId="0" applyFont="1" applyBorder="1"/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2" fontId="12" fillId="0" borderId="47" xfId="0" applyNumberFormat="1" applyFont="1" applyBorder="1" applyAlignment="1">
      <alignment horizontal="center" vertical="center"/>
    </xf>
    <xf numFmtId="9" fontId="12" fillId="0" borderId="7" xfId="1" applyFont="1" applyBorder="1"/>
    <xf numFmtId="0" fontId="12" fillId="0" borderId="48" xfId="0" applyFont="1" applyBorder="1"/>
    <xf numFmtId="0" fontId="12" fillId="0" borderId="0" xfId="0" applyFont="1"/>
    <xf numFmtId="0" fontId="12" fillId="0" borderId="4" xfId="0" applyFont="1" applyBorder="1"/>
    <xf numFmtId="0" fontId="12" fillId="0" borderId="9" xfId="0" applyFont="1" applyBorder="1"/>
    <xf numFmtId="49" fontId="12" fillId="0" borderId="9" xfId="0" applyNumberFormat="1" applyFont="1" applyBorder="1"/>
    <xf numFmtId="0" fontId="12" fillId="0" borderId="0" xfId="0" applyFont="1" applyAlignment="1">
      <alignment horizontal="center" vertical="center"/>
    </xf>
    <xf numFmtId="0" fontId="12" fillId="0" borderId="49" xfId="0" applyFont="1" applyBorder="1"/>
    <xf numFmtId="0" fontId="12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readingOrder="1"/>
    </xf>
    <xf numFmtId="0" fontId="12" fillId="0" borderId="50" xfId="0" applyFont="1" applyBorder="1"/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2" fontId="12" fillId="0" borderId="54" xfId="0" applyNumberFormat="1" applyFont="1" applyBorder="1" applyAlignment="1">
      <alignment horizontal="center" vertical="center"/>
    </xf>
    <xf numFmtId="9" fontId="12" fillId="0" borderId="0" xfId="1" applyFont="1" applyBorder="1"/>
    <xf numFmtId="0" fontId="12" fillId="0" borderId="55" xfId="0" applyFont="1" applyBorder="1"/>
    <xf numFmtId="0" fontId="12" fillId="0" borderId="1" xfId="0" applyFont="1" applyBorder="1"/>
    <xf numFmtId="0" fontId="12" fillId="0" borderId="5" xfId="0" applyFont="1" applyBorder="1"/>
    <xf numFmtId="0" fontId="12" fillId="0" borderId="11" xfId="0" applyFont="1" applyBorder="1"/>
    <xf numFmtId="49" fontId="12" fillId="0" borderId="11" xfId="0" applyNumberFormat="1" applyFont="1" applyBorder="1"/>
    <xf numFmtId="0" fontId="12" fillId="0" borderId="56" xfId="0" applyFont="1" applyBorder="1"/>
    <xf numFmtId="0" fontId="12" fillId="0" borderId="41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readingOrder="1"/>
    </xf>
    <xf numFmtId="0" fontId="12" fillId="0" borderId="41" xfId="0" applyFont="1" applyBorder="1"/>
    <xf numFmtId="0" fontId="12" fillId="0" borderId="5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" fontId="12" fillId="0" borderId="60" xfId="0" applyNumberFormat="1" applyFont="1" applyBorder="1" applyAlignment="1">
      <alignment horizontal="center" vertical="center"/>
    </xf>
    <xf numFmtId="9" fontId="12" fillId="0" borderId="1" xfId="1" applyFont="1" applyBorder="1"/>
    <xf numFmtId="0" fontId="12" fillId="0" borderId="37" xfId="0" applyFont="1" applyBorder="1"/>
    <xf numFmtId="0" fontId="12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1"/>
    </xf>
    <xf numFmtId="0" fontId="12" fillId="0" borderId="1" xfId="0" applyFont="1" applyBorder="1" applyAlignment="1">
      <alignment horizontal="center"/>
    </xf>
    <xf numFmtId="2" fontId="12" fillId="0" borderId="60" xfId="0" applyNumberFormat="1" applyFont="1" applyBorder="1"/>
    <xf numFmtId="49" fontId="12" fillId="0" borderId="3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2" fillId="0" borderId="34" xfId="1" applyFont="1" applyBorder="1"/>
    <xf numFmtId="165" fontId="12" fillId="0" borderId="17" xfId="0" applyNumberFormat="1" applyFont="1" applyBorder="1" applyAlignment="1">
      <alignment horizontal="center" vertical="center"/>
    </xf>
    <xf numFmtId="9" fontId="12" fillId="0" borderId="0" xfId="1" applyFont="1"/>
    <xf numFmtId="9" fontId="12" fillId="0" borderId="17" xfId="1" applyFont="1" applyBorder="1"/>
    <xf numFmtId="165" fontId="12" fillId="0" borderId="30" xfId="0" applyNumberFormat="1" applyFont="1" applyBorder="1" applyAlignment="1">
      <alignment horizontal="center" vertical="center"/>
    </xf>
    <xf numFmtId="9" fontId="12" fillId="0" borderId="30" xfId="1" applyFont="1" applyBorder="1"/>
    <xf numFmtId="1" fontId="12" fillId="0" borderId="34" xfId="0" applyNumberFormat="1" applyFont="1" applyBorder="1"/>
    <xf numFmtId="0" fontId="13" fillId="0" borderId="1" xfId="0" applyFont="1" applyBorder="1" applyAlignment="1">
      <alignment horizontal="center" vertical="center"/>
    </xf>
    <xf numFmtId="1" fontId="12" fillId="0" borderId="61" xfId="0" applyNumberFormat="1" applyFont="1" applyBorder="1" applyAlignment="1">
      <alignment horizontal="center" vertical="center"/>
    </xf>
    <xf numFmtId="166" fontId="12" fillId="0" borderId="34" xfId="0" applyNumberFormat="1" applyFont="1" applyBorder="1" applyAlignment="1">
      <alignment horizontal="center" vertical="center"/>
    </xf>
    <xf numFmtId="166" fontId="12" fillId="0" borderId="37" xfId="0" applyNumberFormat="1" applyFont="1" applyBorder="1" applyAlignment="1">
      <alignment horizontal="center" vertical="center"/>
    </xf>
    <xf numFmtId="16" fontId="12" fillId="0" borderId="4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66" fontId="12" fillId="0" borderId="55" xfId="0" applyNumberFormat="1" applyFont="1" applyBorder="1" applyAlignment="1">
      <alignment horizontal="center" vertical="center"/>
    </xf>
    <xf numFmtId="1" fontId="12" fillId="0" borderId="55" xfId="0" applyNumberFormat="1" applyFont="1" applyBorder="1" applyAlignment="1">
      <alignment horizontal="center" vertical="center"/>
    </xf>
    <xf numFmtId="16" fontId="12" fillId="0" borderId="5" xfId="0" applyNumberFormat="1" applyFont="1" applyBorder="1" applyAlignment="1">
      <alignment horizontal="center" vertical="center"/>
    </xf>
    <xf numFmtId="1" fontId="12" fillId="0" borderId="37" xfId="0" applyNumberFormat="1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0" borderId="80" xfId="0" applyFont="1" applyBorder="1"/>
    <xf numFmtId="0" fontId="12" fillId="0" borderId="62" xfId="0" applyFont="1" applyBorder="1"/>
    <xf numFmtId="0" fontId="12" fillId="0" borderId="62" xfId="0" applyFont="1" applyBorder="1" applyAlignment="1">
      <alignment horizontal="center" vertical="center"/>
    </xf>
    <xf numFmtId="0" fontId="12" fillId="0" borderId="63" xfId="0" applyFont="1" applyBorder="1"/>
    <xf numFmtId="0" fontId="12" fillId="0" borderId="64" xfId="0" applyFont="1" applyBorder="1"/>
    <xf numFmtId="0" fontId="12" fillId="0" borderId="65" xfId="0" applyFont="1" applyBorder="1" applyAlignment="1">
      <alignment horizontal="center" vertical="center"/>
    </xf>
    <xf numFmtId="0" fontId="12" fillId="0" borderId="65" xfId="0" applyFont="1" applyBorder="1"/>
    <xf numFmtId="166" fontId="12" fillId="0" borderId="34" xfId="0" applyNumberFormat="1" applyFont="1" applyBorder="1"/>
    <xf numFmtId="166" fontId="12" fillId="0" borderId="17" xfId="0" applyNumberFormat="1" applyFont="1" applyBorder="1"/>
    <xf numFmtId="0" fontId="12" fillId="0" borderId="6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49" fontId="12" fillId="0" borderId="25" xfId="0" applyNumberFormat="1" applyFont="1" applyBorder="1" applyAlignment="1">
      <alignment horizontal="center" vertical="center"/>
    </xf>
    <xf numFmtId="16" fontId="12" fillId="0" borderId="3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68" xfId="0" applyFont="1" applyBorder="1"/>
    <xf numFmtId="166" fontId="12" fillId="0" borderId="17" xfId="0" applyNumberFormat="1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69" xfId="0" applyFont="1" applyBorder="1"/>
    <xf numFmtId="166" fontId="12" fillId="0" borderId="28" xfId="0" applyNumberFormat="1" applyFont="1" applyBorder="1" applyAlignment="1">
      <alignment horizontal="center" vertical="center"/>
    </xf>
    <xf numFmtId="166" fontId="12" fillId="0" borderId="30" xfId="0" applyNumberFormat="1" applyFont="1" applyBorder="1" applyAlignment="1">
      <alignment horizontal="center" vertical="center"/>
    </xf>
    <xf numFmtId="166" fontId="12" fillId="0" borderId="24" xfId="0" applyNumberFormat="1" applyFont="1" applyBorder="1"/>
    <xf numFmtId="166" fontId="12" fillId="0" borderId="48" xfId="0" applyNumberFormat="1" applyFont="1" applyBorder="1"/>
    <xf numFmtId="0" fontId="12" fillId="0" borderId="75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75" xfId="0" applyFont="1" applyBorder="1"/>
    <xf numFmtId="0" fontId="12" fillId="0" borderId="76" xfId="0" applyFont="1" applyBorder="1"/>
    <xf numFmtId="0" fontId="12" fillId="0" borderId="77" xfId="0" applyFont="1" applyBorder="1"/>
    <xf numFmtId="0" fontId="12" fillId="0" borderId="77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2" fillId="0" borderId="89" xfId="0" applyFont="1" applyBorder="1"/>
    <xf numFmtId="0" fontId="12" fillId="0" borderId="91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0" fontId="12" fillId="0" borderId="93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96" xfId="0" applyFont="1" applyBorder="1"/>
    <xf numFmtId="0" fontId="12" fillId="0" borderId="97" xfId="0" applyFont="1" applyBorder="1"/>
    <xf numFmtId="0" fontId="12" fillId="0" borderId="98" xfId="0" applyFont="1" applyBorder="1"/>
    <xf numFmtId="0" fontId="12" fillId="0" borderId="98" xfId="0" applyFont="1" applyBorder="1" applyAlignment="1">
      <alignment horizontal="center"/>
    </xf>
    <xf numFmtId="0" fontId="12" fillId="0" borderId="91" xfId="0" applyFont="1" applyBorder="1"/>
    <xf numFmtId="0" fontId="12" fillId="0" borderId="4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100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/>
    </xf>
    <xf numFmtId="0" fontId="12" fillId="0" borderId="102" xfId="0" applyFont="1" applyBorder="1"/>
    <xf numFmtId="0" fontId="12" fillId="0" borderId="90" xfId="0" applyFont="1" applyBorder="1" applyAlignment="1">
      <alignment horizontal="center" vertical="center"/>
    </xf>
    <xf numFmtId="0" fontId="12" fillId="0" borderId="103" xfId="0" applyFont="1" applyBorder="1"/>
    <xf numFmtId="0" fontId="12" fillId="0" borderId="104" xfId="0" applyFont="1" applyBorder="1"/>
    <xf numFmtId="0" fontId="12" fillId="0" borderId="105" xfId="0" applyFont="1" applyBorder="1" applyAlignment="1">
      <alignment horizontal="center" vertical="center"/>
    </xf>
    <xf numFmtId="0" fontId="12" fillId="0" borderId="106" xfId="0" applyFont="1" applyBorder="1"/>
    <xf numFmtId="0" fontId="12" fillId="0" borderId="8" xfId="0" applyFont="1" applyBorder="1"/>
    <xf numFmtId="0" fontId="12" fillId="0" borderId="7" xfId="0" applyFont="1" applyBorder="1" applyAlignment="1">
      <alignment horizontal="center"/>
    </xf>
    <xf numFmtId="0" fontId="12" fillId="0" borderId="12" xfId="0" applyFont="1" applyBorder="1"/>
    <xf numFmtId="14" fontId="12" fillId="0" borderId="31" xfId="0" applyNumberFormat="1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2" fillId="0" borderId="71" xfId="0" applyNumberFormat="1" applyFont="1" applyBorder="1" applyAlignment="1">
      <alignment horizontal="center" vertical="center"/>
    </xf>
    <xf numFmtId="14" fontId="12" fillId="0" borderId="7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" fontId="4" fillId="0" borderId="3" xfId="0" applyNumberFormat="1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0" xfId="0" applyNumberFormat="1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0C43-EEEF-41A6-98EA-96CD389B53E5}">
  <sheetPr>
    <pageSetUpPr fitToPage="1"/>
  </sheetPr>
  <dimension ref="A1:HG287"/>
  <sheetViews>
    <sheetView zoomScale="90" zoomScaleNormal="90" workbookViewId="0">
      <pane xSplit="4" ySplit="1" topLeftCell="J80" activePane="bottomRight" state="frozen"/>
      <selection pane="topRight" activeCell="D1" sqref="D1"/>
      <selection pane="bottomLeft" activeCell="A2" sqref="A2"/>
      <selection pane="bottomRight" activeCell="J80" sqref="J80"/>
    </sheetView>
  </sheetViews>
  <sheetFormatPr defaultColWidth="8.7109375" defaultRowHeight="18.75" x14ac:dyDescent="0.25"/>
  <cols>
    <col min="1" max="1" width="20.5703125" style="43" customWidth="1"/>
    <col min="2" max="2" width="14.42578125" style="43" customWidth="1"/>
    <col min="3" max="3" width="13.7109375" style="43" bestFit="1" customWidth="1"/>
    <col min="4" max="4" width="9.28515625" style="8" bestFit="1" customWidth="1"/>
    <col min="5" max="5" width="18.5703125" style="1" hidden="1" customWidth="1"/>
    <col min="6" max="6" width="14.42578125" style="1" hidden="1" customWidth="1"/>
    <col min="7" max="7" width="14.28515625" style="1" customWidth="1"/>
    <col min="8" max="8" width="18.140625" style="8" customWidth="1"/>
    <col min="9" max="9" width="17.5703125" style="1" customWidth="1"/>
    <col min="10" max="10" width="22.140625" style="8" customWidth="1"/>
    <col min="11" max="11" width="16.85546875" style="1" customWidth="1"/>
    <col min="12" max="12" width="18.85546875" style="1" hidden="1" customWidth="1"/>
    <col min="13" max="13" width="17.5703125" style="2" customWidth="1"/>
    <col min="14" max="14" width="18" style="2" customWidth="1"/>
    <col min="15" max="15" width="19.140625" style="2" hidden="1" customWidth="1"/>
    <col min="16" max="16" width="20.42578125" style="2" customWidth="1"/>
    <col min="17" max="17" width="14.140625" style="2" customWidth="1"/>
    <col min="18" max="19" width="14" style="2" customWidth="1"/>
    <col min="20" max="20" width="13.42578125" style="3" customWidth="1"/>
    <col min="21" max="21" width="14.7109375" style="1" customWidth="1"/>
    <col min="22" max="22" width="43.5703125" style="1" customWidth="1"/>
    <col min="23" max="16384" width="8.7109375" style="1"/>
  </cols>
  <sheetData>
    <row r="1" spans="1:22" s="25" customFormat="1" ht="85.5" customHeight="1" x14ac:dyDescent="0.25">
      <c r="A1" s="47" t="s">
        <v>0</v>
      </c>
      <c r="B1" s="47" t="s">
        <v>1</v>
      </c>
      <c r="C1" s="48" t="s">
        <v>2</v>
      </c>
      <c r="D1" s="46" t="s">
        <v>3</v>
      </c>
      <c r="E1" s="25" t="s">
        <v>4</v>
      </c>
      <c r="F1" s="25" t="s">
        <v>5</v>
      </c>
      <c r="G1" s="25" t="s">
        <v>6</v>
      </c>
      <c r="H1" s="46" t="s">
        <v>7</v>
      </c>
      <c r="I1" s="63" t="s">
        <v>8</v>
      </c>
      <c r="J1" s="46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8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4" t="s">
        <v>19</v>
      </c>
      <c r="U1" s="25" t="s">
        <v>20</v>
      </c>
      <c r="V1" s="25" t="s">
        <v>21</v>
      </c>
    </row>
    <row r="2" spans="1:22" s="9" customFormat="1" ht="21.75" customHeight="1" x14ac:dyDescent="0.3">
      <c r="A2" s="353" t="s">
        <v>22</v>
      </c>
      <c r="B2" s="353" t="s">
        <v>23</v>
      </c>
      <c r="C2" s="45" t="s">
        <v>24</v>
      </c>
      <c r="D2" s="41">
        <v>1</v>
      </c>
      <c r="F2" s="22"/>
      <c r="G2" s="365"/>
      <c r="H2" s="35" t="s">
        <v>25</v>
      </c>
      <c r="I2" s="362">
        <v>45093</v>
      </c>
      <c r="J2" s="35" t="s">
        <v>26</v>
      </c>
      <c r="K2" s="37"/>
      <c r="L2" s="10"/>
      <c r="M2" s="12"/>
      <c r="N2" s="12"/>
      <c r="O2" s="13"/>
      <c r="P2" s="12">
        <v>3.1859999999999999</v>
      </c>
      <c r="Q2" s="12">
        <v>14.97</v>
      </c>
      <c r="R2" s="12">
        <f>49.29-14.43</f>
        <v>34.86</v>
      </c>
      <c r="S2" s="12"/>
      <c r="T2" s="14">
        <v>5</v>
      </c>
      <c r="U2" s="11"/>
      <c r="V2" s="15"/>
    </row>
    <row r="3" spans="1:22" ht="18" customHeight="1" x14ac:dyDescent="0.3">
      <c r="A3" s="354"/>
      <c r="B3" s="354"/>
      <c r="C3" s="43" t="s">
        <v>24</v>
      </c>
      <c r="D3" s="8">
        <v>2</v>
      </c>
      <c r="F3" s="52"/>
      <c r="G3" s="366"/>
      <c r="H3" s="40" t="s">
        <v>25</v>
      </c>
      <c r="I3" s="363"/>
      <c r="J3" s="35" t="s">
        <v>27</v>
      </c>
      <c r="K3" s="50"/>
      <c r="O3" s="51"/>
      <c r="P3" s="2">
        <v>4.3730000000000002</v>
      </c>
      <c r="Q3" s="2">
        <v>15.02</v>
      </c>
      <c r="R3" s="2">
        <f>45.72-14.49</f>
        <v>31.229999999999997</v>
      </c>
      <c r="T3" s="3">
        <v>5</v>
      </c>
      <c r="U3" s="55"/>
      <c r="V3" s="16"/>
    </row>
    <row r="4" spans="1:22" ht="18" customHeight="1" x14ac:dyDescent="0.3">
      <c r="A4" s="354"/>
      <c r="B4" s="354"/>
      <c r="C4" s="43" t="s">
        <v>24</v>
      </c>
      <c r="D4" s="8">
        <v>3</v>
      </c>
      <c r="F4" s="52"/>
      <c r="G4" s="366"/>
      <c r="H4" s="40" t="s">
        <v>25</v>
      </c>
      <c r="I4" s="363"/>
      <c r="J4" s="35" t="s">
        <v>28</v>
      </c>
      <c r="K4" s="50"/>
      <c r="O4" s="51"/>
      <c r="P4" s="2">
        <v>4.2169999999999996</v>
      </c>
      <c r="Q4" s="2">
        <v>15.08</v>
      </c>
      <c r="R4" s="2">
        <f>46.93-14.42</f>
        <v>32.51</v>
      </c>
      <c r="T4" s="3">
        <v>5</v>
      </c>
      <c r="V4" s="16"/>
    </row>
    <row r="5" spans="1:22" ht="18" customHeight="1" x14ac:dyDescent="0.3">
      <c r="A5" s="354"/>
      <c r="B5" s="354"/>
      <c r="C5" s="43" t="s">
        <v>24</v>
      </c>
      <c r="D5" s="8">
        <v>4</v>
      </c>
      <c r="F5" s="52"/>
      <c r="G5" s="366"/>
      <c r="H5" s="40" t="s">
        <v>25</v>
      </c>
      <c r="I5" s="363"/>
      <c r="J5" s="35" t="s">
        <v>29</v>
      </c>
      <c r="K5" s="50"/>
      <c r="O5" s="51"/>
      <c r="P5" s="2">
        <v>6.4870000000000001</v>
      </c>
      <c r="Q5" s="2">
        <v>15.26</v>
      </c>
      <c r="R5" s="2">
        <f>46.26-16.04</f>
        <v>30.22</v>
      </c>
      <c r="T5" s="3">
        <v>5</v>
      </c>
      <c r="V5" s="16"/>
    </row>
    <row r="6" spans="1:22" ht="18" customHeight="1" x14ac:dyDescent="0.3">
      <c r="A6" s="354"/>
      <c r="B6" s="354"/>
      <c r="C6" s="43" t="s">
        <v>24</v>
      </c>
      <c r="D6" s="8">
        <v>5</v>
      </c>
      <c r="F6" s="52"/>
      <c r="G6" s="366"/>
      <c r="H6" s="40" t="s">
        <v>25</v>
      </c>
      <c r="I6" s="363"/>
      <c r="J6" s="35" t="s">
        <v>30</v>
      </c>
      <c r="K6" s="50"/>
      <c r="O6" s="51"/>
      <c r="P6" s="2">
        <v>7.8559999999999999</v>
      </c>
      <c r="Q6" s="2">
        <v>15.16</v>
      </c>
      <c r="R6" s="2">
        <f>45.85-14.47</f>
        <v>31.380000000000003</v>
      </c>
      <c r="T6" s="3">
        <v>5</v>
      </c>
      <c r="V6" s="16"/>
    </row>
    <row r="7" spans="1:22" ht="18" customHeight="1" x14ac:dyDescent="0.3">
      <c r="A7" s="354"/>
      <c r="B7" s="354"/>
      <c r="C7" s="43" t="s">
        <v>24</v>
      </c>
      <c r="D7" s="8">
        <v>6</v>
      </c>
      <c r="F7" s="52"/>
      <c r="G7" s="366"/>
      <c r="H7" s="40" t="s">
        <v>25</v>
      </c>
      <c r="I7" s="363"/>
      <c r="J7" s="35" t="s">
        <v>31</v>
      </c>
      <c r="K7" s="50"/>
      <c r="O7" s="51"/>
      <c r="P7" s="2">
        <v>3.2240000000000002</v>
      </c>
      <c r="Q7" s="2">
        <v>15.09</v>
      </c>
      <c r="R7" s="2">
        <f>51.95-14.39</f>
        <v>37.56</v>
      </c>
      <c r="T7" s="3">
        <v>5</v>
      </c>
      <c r="V7" s="16"/>
    </row>
    <row r="8" spans="1:22" x14ac:dyDescent="0.3">
      <c r="A8" s="354"/>
      <c r="B8" s="354"/>
      <c r="C8" s="43" t="s">
        <v>24</v>
      </c>
      <c r="D8" s="8">
        <v>7</v>
      </c>
      <c r="F8" s="52"/>
      <c r="G8" s="366"/>
      <c r="H8" s="40" t="s">
        <v>25</v>
      </c>
      <c r="I8" s="363"/>
      <c r="J8" s="35" t="s">
        <v>32</v>
      </c>
      <c r="K8" s="50"/>
      <c r="O8" s="51"/>
      <c r="P8" s="2">
        <v>2.952</v>
      </c>
      <c r="Q8" s="2">
        <v>15.07</v>
      </c>
      <c r="R8" s="2">
        <f>50.04-15.18</f>
        <v>34.86</v>
      </c>
      <c r="T8" s="3">
        <v>5</v>
      </c>
      <c r="V8" s="16"/>
    </row>
    <row r="9" spans="1:22" x14ac:dyDescent="0.3">
      <c r="A9" s="354"/>
      <c r="B9" s="354"/>
      <c r="C9" s="43" t="s">
        <v>24</v>
      </c>
      <c r="D9" s="8">
        <v>8</v>
      </c>
      <c r="F9" s="52"/>
      <c r="G9" s="366"/>
      <c r="H9" s="40" t="s">
        <v>25</v>
      </c>
      <c r="I9" s="363"/>
      <c r="J9" s="35" t="s">
        <v>33</v>
      </c>
      <c r="K9" s="50"/>
      <c r="O9" s="51"/>
      <c r="P9" s="2">
        <v>8.6120000000000001</v>
      </c>
      <c r="Q9" s="2">
        <v>15.07</v>
      </c>
      <c r="R9" s="2">
        <f>44.18-14.5</f>
        <v>29.68</v>
      </c>
      <c r="T9" s="3">
        <v>5</v>
      </c>
      <c r="V9" s="16"/>
    </row>
    <row r="10" spans="1:22" x14ac:dyDescent="0.3">
      <c r="A10" s="354"/>
      <c r="B10" s="354"/>
      <c r="C10" s="43" t="s">
        <v>24</v>
      </c>
      <c r="D10" s="8">
        <v>9</v>
      </c>
      <c r="F10" s="52"/>
      <c r="G10" s="366"/>
      <c r="H10" s="40" t="s">
        <v>25</v>
      </c>
      <c r="I10" s="363"/>
      <c r="J10" s="35" t="s">
        <v>34</v>
      </c>
      <c r="K10" s="50"/>
      <c r="O10" s="51"/>
      <c r="P10" s="2">
        <v>2.9329999999999998</v>
      </c>
      <c r="Q10" s="2">
        <v>15.09</v>
      </c>
      <c r="R10" s="2">
        <f>50.75-14.43</f>
        <v>36.32</v>
      </c>
      <c r="T10" s="3">
        <v>5</v>
      </c>
      <c r="V10" s="16"/>
    </row>
    <row r="11" spans="1:22" s="4" customFormat="1" x14ac:dyDescent="0.3">
      <c r="A11" s="354"/>
      <c r="B11" s="354"/>
      <c r="C11" s="44" t="s">
        <v>24</v>
      </c>
      <c r="D11" s="42">
        <v>10</v>
      </c>
      <c r="F11" s="39"/>
      <c r="G11" s="366"/>
      <c r="H11" s="62" t="s">
        <v>25</v>
      </c>
      <c r="I11" s="364"/>
      <c r="J11" s="36" t="s">
        <v>35</v>
      </c>
      <c r="K11" s="18"/>
      <c r="M11" s="6"/>
      <c r="N11" s="6"/>
      <c r="O11" s="20"/>
      <c r="P11" s="6">
        <v>2.87</v>
      </c>
      <c r="Q11" s="6">
        <v>14.95</v>
      </c>
      <c r="R11" s="6">
        <f>50.33-14.38</f>
        <v>35.949999999999996</v>
      </c>
      <c r="S11" s="6"/>
      <c r="T11" s="7">
        <v>5</v>
      </c>
      <c r="V11" s="21"/>
    </row>
    <row r="12" spans="1:22" x14ac:dyDescent="0.3">
      <c r="A12" s="354"/>
      <c r="B12" s="354"/>
      <c r="C12" s="43" t="s">
        <v>24</v>
      </c>
      <c r="D12" s="8">
        <v>11</v>
      </c>
      <c r="F12" s="52"/>
      <c r="G12" s="366"/>
      <c r="H12" s="40" t="s">
        <v>25</v>
      </c>
      <c r="I12" s="362">
        <v>45096</v>
      </c>
      <c r="J12" s="40" t="s">
        <v>36</v>
      </c>
      <c r="K12" s="50"/>
      <c r="O12" s="51"/>
      <c r="P12" s="2">
        <v>6.01</v>
      </c>
      <c r="Q12" s="2">
        <v>15.05</v>
      </c>
      <c r="R12" s="2">
        <f>41.36-14.45</f>
        <v>26.91</v>
      </c>
      <c r="T12" s="3">
        <v>5</v>
      </c>
      <c r="V12" s="16"/>
    </row>
    <row r="13" spans="1:22" ht="18" customHeight="1" x14ac:dyDescent="0.3">
      <c r="A13" s="354"/>
      <c r="B13" s="354"/>
      <c r="C13" s="43" t="s">
        <v>24</v>
      </c>
      <c r="D13" s="8">
        <v>12</v>
      </c>
      <c r="E13" s="56"/>
      <c r="F13" s="52"/>
      <c r="G13" s="366"/>
      <c r="H13" s="8" t="s">
        <v>25</v>
      </c>
      <c r="I13" s="363"/>
      <c r="J13" s="35" t="s">
        <v>37</v>
      </c>
      <c r="K13" s="50"/>
      <c r="O13" s="51"/>
      <c r="P13" s="2">
        <v>6.1989999999999998</v>
      </c>
      <c r="Q13" s="2">
        <v>14.99</v>
      </c>
      <c r="R13" s="2">
        <f>44.8-14.41</f>
        <v>30.389999999999997</v>
      </c>
      <c r="T13" s="3">
        <v>5</v>
      </c>
      <c r="V13" s="16"/>
    </row>
    <row r="14" spans="1:22" x14ac:dyDescent="0.3">
      <c r="A14" s="354"/>
      <c r="B14" s="354"/>
      <c r="C14" s="43" t="s">
        <v>24</v>
      </c>
      <c r="D14" s="8">
        <v>13</v>
      </c>
      <c r="H14" s="29" t="s">
        <v>25</v>
      </c>
      <c r="I14" s="363"/>
      <c r="J14" s="35" t="s">
        <v>38</v>
      </c>
      <c r="K14" s="50"/>
      <c r="L14" s="2"/>
      <c r="O14" s="51"/>
      <c r="P14" s="2">
        <v>2.4220000000000002</v>
      </c>
      <c r="Q14" s="2">
        <v>14.98</v>
      </c>
      <c r="R14" s="2">
        <f>49.41-14.74</f>
        <v>34.669999999999995</v>
      </c>
      <c r="T14" s="3">
        <v>5</v>
      </c>
      <c r="V14" s="16"/>
    </row>
    <row r="15" spans="1:22" x14ac:dyDescent="0.3">
      <c r="A15" s="354"/>
      <c r="B15" s="354"/>
      <c r="C15" s="43" t="s">
        <v>24</v>
      </c>
      <c r="D15" s="8">
        <v>14</v>
      </c>
      <c r="H15" s="29" t="s">
        <v>25</v>
      </c>
      <c r="I15" s="363"/>
      <c r="J15" s="35" t="s">
        <v>39</v>
      </c>
      <c r="K15" s="50"/>
      <c r="L15" s="2"/>
      <c r="O15" s="51"/>
      <c r="P15" s="2">
        <v>1.641</v>
      </c>
      <c r="Q15" s="2">
        <v>15.06</v>
      </c>
      <c r="R15" s="2">
        <f>46.62-14.44</f>
        <v>32.18</v>
      </c>
      <c r="T15" s="3">
        <v>5</v>
      </c>
      <c r="V15" s="16"/>
    </row>
    <row r="16" spans="1:22" x14ac:dyDescent="0.3">
      <c r="A16" s="354"/>
      <c r="B16" s="354"/>
      <c r="C16" s="43" t="s">
        <v>24</v>
      </c>
      <c r="D16" s="8">
        <v>15</v>
      </c>
      <c r="H16" s="29" t="s">
        <v>25</v>
      </c>
      <c r="I16" s="363"/>
      <c r="J16" s="35" t="s">
        <v>40</v>
      </c>
      <c r="K16" s="50"/>
      <c r="L16" s="2"/>
      <c r="O16" s="51"/>
      <c r="P16" s="2">
        <v>2.7080000000000002</v>
      </c>
      <c r="Q16" s="2">
        <v>15.06</v>
      </c>
      <c r="R16" s="2">
        <f>50.12-14.45</f>
        <v>35.67</v>
      </c>
      <c r="T16" s="3">
        <v>5</v>
      </c>
      <c r="V16" s="16"/>
    </row>
    <row r="17" spans="1:215" x14ac:dyDescent="0.3">
      <c r="A17" s="354"/>
      <c r="B17" s="354"/>
      <c r="C17" s="43" t="s">
        <v>24</v>
      </c>
      <c r="D17" s="8">
        <v>16</v>
      </c>
      <c r="F17" s="54"/>
      <c r="G17" s="53"/>
      <c r="H17" s="40" t="s">
        <v>25</v>
      </c>
      <c r="I17" s="363"/>
      <c r="J17" s="35" t="s">
        <v>41</v>
      </c>
      <c r="K17" s="50"/>
      <c r="L17" s="51"/>
      <c r="O17" s="51"/>
      <c r="P17" s="2">
        <v>7.4859999999999998</v>
      </c>
      <c r="Q17" s="2">
        <v>15.03</v>
      </c>
      <c r="R17" s="2">
        <f>45.41-14.42</f>
        <v>30.989999999999995</v>
      </c>
      <c r="T17" s="3">
        <v>5</v>
      </c>
      <c r="V17" s="16"/>
    </row>
    <row r="18" spans="1:215" x14ac:dyDescent="0.3">
      <c r="A18" s="354"/>
      <c r="B18" s="354"/>
      <c r="C18" s="43" t="s">
        <v>24</v>
      </c>
      <c r="D18" s="8">
        <v>17</v>
      </c>
      <c r="G18" s="53"/>
      <c r="H18" s="40" t="s">
        <v>25</v>
      </c>
      <c r="I18" s="363"/>
      <c r="J18" s="35" t="s">
        <v>42</v>
      </c>
      <c r="K18" s="50"/>
      <c r="L18" s="51"/>
      <c r="O18" s="51"/>
      <c r="P18" s="2">
        <v>3.5779999999999998</v>
      </c>
      <c r="Q18" s="2">
        <v>14.98</v>
      </c>
      <c r="R18" s="2">
        <f>46.31-15.6</f>
        <v>30.71</v>
      </c>
      <c r="T18" s="3">
        <v>5</v>
      </c>
      <c r="V18" s="16"/>
    </row>
    <row r="19" spans="1:215" x14ac:dyDescent="0.3">
      <c r="A19" s="354"/>
      <c r="B19" s="354"/>
      <c r="C19" s="43" t="s">
        <v>24</v>
      </c>
      <c r="D19" s="8">
        <v>18</v>
      </c>
      <c r="E19" s="56"/>
      <c r="F19" s="54"/>
      <c r="G19" s="53"/>
      <c r="H19" s="40" t="s">
        <v>25</v>
      </c>
      <c r="I19" s="363"/>
      <c r="J19" s="35" t="s">
        <v>43</v>
      </c>
      <c r="K19" s="50"/>
      <c r="L19" s="51"/>
      <c r="O19" s="51"/>
      <c r="P19" s="2">
        <v>3.2360000000000002</v>
      </c>
      <c r="Q19" s="2">
        <v>15.12</v>
      </c>
      <c r="R19" s="2">
        <f>50.16-14.4</f>
        <v>35.76</v>
      </c>
      <c r="T19" s="3">
        <v>5</v>
      </c>
      <c r="V19" s="16"/>
    </row>
    <row r="20" spans="1:215" s="4" customFormat="1" x14ac:dyDescent="0.3">
      <c r="A20" s="354"/>
      <c r="B20" s="354"/>
      <c r="C20" s="44" t="s">
        <v>24</v>
      </c>
      <c r="D20" s="42">
        <v>19</v>
      </c>
      <c r="F20" s="23"/>
      <c r="G20" s="24"/>
      <c r="H20" s="62" t="s">
        <v>25</v>
      </c>
      <c r="I20" s="364"/>
      <c r="J20" s="36" t="s">
        <v>44</v>
      </c>
      <c r="K20" s="18"/>
      <c r="L20" s="19"/>
      <c r="M20" s="6"/>
      <c r="N20" s="6"/>
      <c r="O20" s="20"/>
      <c r="P20" s="6">
        <v>3.2440000000000002</v>
      </c>
      <c r="Q20" s="6">
        <v>15.12</v>
      </c>
      <c r="R20" s="6">
        <f>50.96-14.4</f>
        <v>36.56</v>
      </c>
      <c r="S20" s="6"/>
      <c r="T20" s="7">
        <v>5</v>
      </c>
      <c r="V20" s="21"/>
    </row>
    <row r="21" spans="1:215" x14ac:dyDescent="0.3">
      <c r="A21" s="354"/>
      <c r="B21" s="354"/>
      <c r="C21" s="43" t="s">
        <v>45</v>
      </c>
      <c r="D21" s="8">
        <v>1</v>
      </c>
      <c r="F21" s="53"/>
      <c r="G21" s="53"/>
      <c r="H21" s="40" t="s">
        <v>25</v>
      </c>
      <c r="I21" s="362">
        <v>45114</v>
      </c>
      <c r="J21" s="40" t="s">
        <v>46</v>
      </c>
      <c r="K21" s="50"/>
      <c r="L21" s="55"/>
      <c r="O21" s="51"/>
      <c r="P21" s="2">
        <v>2.2029999999999998</v>
      </c>
      <c r="Q21" s="2">
        <v>15.08</v>
      </c>
      <c r="R21" s="2">
        <f>59.92-16.42</f>
        <v>43.5</v>
      </c>
      <c r="T21" s="3">
        <v>5</v>
      </c>
      <c r="V21" s="16"/>
    </row>
    <row r="22" spans="1:215" ht="19.5" customHeight="1" x14ac:dyDescent="0.3">
      <c r="A22" s="354"/>
      <c r="B22" s="354"/>
      <c r="C22" s="43" t="s">
        <v>45</v>
      </c>
      <c r="D22" s="8">
        <v>2</v>
      </c>
      <c r="H22" s="8" t="s">
        <v>25</v>
      </c>
      <c r="I22" s="363"/>
      <c r="J22" s="35" t="s">
        <v>47</v>
      </c>
      <c r="K22" s="50"/>
      <c r="O22" s="51"/>
      <c r="P22" s="2">
        <v>2.89</v>
      </c>
      <c r="Q22" s="2">
        <v>15.18</v>
      </c>
      <c r="R22" s="2">
        <f>58.24-14.61</f>
        <v>43.63</v>
      </c>
      <c r="T22" s="3">
        <v>5</v>
      </c>
      <c r="V22" s="16"/>
    </row>
    <row r="23" spans="1:215" x14ac:dyDescent="0.3">
      <c r="A23" s="354"/>
      <c r="B23" s="354"/>
      <c r="C23" s="43" t="s">
        <v>45</v>
      </c>
      <c r="D23" s="8">
        <v>3</v>
      </c>
      <c r="H23" s="8" t="s">
        <v>25</v>
      </c>
      <c r="I23" s="363"/>
      <c r="J23" s="35" t="s">
        <v>48</v>
      </c>
      <c r="K23" s="50"/>
      <c r="O23" s="51"/>
      <c r="T23" s="3">
        <v>5</v>
      </c>
      <c r="V23" s="16"/>
    </row>
    <row r="24" spans="1:215" x14ac:dyDescent="0.3">
      <c r="A24" s="354"/>
      <c r="B24" s="354"/>
      <c r="C24" s="43" t="s">
        <v>45</v>
      </c>
      <c r="D24" s="8">
        <v>4</v>
      </c>
      <c r="H24" s="8" t="s">
        <v>25</v>
      </c>
      <c r="I24" s="363"/>
      <c r="J24" s="35" t="s">
        <v>49</v>
      </c>
      <c r="K24" s="50"/>
      <c r="O24" s="51"/>
      <c r="P24" s="2">
        <v>0.9</v>
      </c>
      <c r="Q24" s="2">
        <v>15.01</v>
      </c>
      <c r="R24" s="2">
        <f>60.93-15.78</f>
        <v>45.15</v>
      </c>
      <c r="T24" s="3">
        <v>5</v>
      </c>
      <c r="V24" s="16"/>
    </row>
    <row r="25" spans="1:215" ht="19.5" customHeight="1" x14ac:dyDescent="0.3">
      <c r="A25" s="354"/>
      <c r="B25" s="354"/>
      <c r="C25" s="43" t="s">
        <v>45</v>
      </c>
      <c r="D25" s="8">
        <v>5</v>
      </c>
      <c r="H25" s="8" t="s">
        <v>25</v>
      </c>
      <c r="I25" s="363"/>
      <c r="J25" s="35" t="s">
        <v>50</v>
      </c>
      <c r="K25" s="50"/>
      <c r="O25" s="51"/>
      <c r="P25" s="2">
        <v>0.59799999999999998</v>
      </c>
      <c r="Q25" s="2">
        <v>15.17</v>
      </c>
      <c r="R25" s="2">
        <f>62.18-16.54</f>
        <v>45.64</v>
      </c>
      <c r="T25" s="3">
        <v>5</v>
      </c>
      <c r="V25" s="16"/>
    </row>
    <row r="26" spans="1:215" s="4" customFormat="1" x14ac:dyDescent="0.3">
      <c r="A26" s="354"/>
      <c r="B26" s="354"/>
      <c r="C26" s="44" t="s">
        <v>45</v>
      </c>
      <c r="D26" s="42">
        <v>6</v>
      </c>
      <c r="F26" s="17"/>
      <c r="H26" s="42" t="s">
        <v>25</v>
      </c>
      <c r="I26" s="364"/>
      <c r="J26" s="36" t="s">
        <v>51</v>
      </c>
      <c r="K26" s="18"/>
      <c r="L26" s="19"/>
      <c r="M26" s="6"/>
      <c r="N26" s="6"/>
      <c r="O26" s="20"/>
      <c r="P26" s="6">
        <v>0.753</v>
      </c>
      <c r="Q26" s="6">
        <v>15.12</v>
      </c>
      <c r="R26" s="6">
        <f>59.44-16.54</f>
        <v>42.9</v>
      </c>
      <c r="S26" s="6"/>
      <c r="T26" s="7">
        <v>5</v>
      </c>
      <c r="V26" s="21"/>
    </row>
    <row r="27" spans="1:215" x14ac:dyDescent="0.3">
      <c r="A27" s="353" t="s">
        <v>22</v>
      </c>
      <c r="B27" s="353" t="s">
        <v>52</v>
      </c>
      <c r="C27" s="32" t="s">
        <v>24</v>
      </c>
      <c r="D27" s="29">
        <v>1</v>
      </c>
      <c r="H27" s="8" t="s">
        <v>25</v>
      </c>
      <c r="I27" s="367">
        <v>45124</v>
      </c>
      <c r="J27" s="40" t="s">
        <v>53</v>
      </c>
      <c r="K27" s="50"/>
      <c r="L27" s="55"/>
      <c r="O27" s="51"/>
      <c r="P27" s="2">
        <v>10.214</v>
      </c>
      <c r="Q27" s="2">
        <v>14.98</v>
      </c>
      <c r="R27" s="2">
        <f>57.98-14.35</f>
        <v>43.629999999999995</v>
      </c>
      <c r="T27" s="3">
        <v>5</v>
      </c>
      <c r="V27" s="16"/>
    </row>
    <row r="28" spans="1:215" ht="14.25" customHeight="1" x14ac:dyDescent="0.3">
      <c r="A28" s="354"/>
      <c r="B28" s="354"/>
      <c r="C28" s="32" t="s">
        <v>24</v>
      </c>
      <c r="D28" s="31">
        <v>2</v>
      </c>
      <c r="F28" s="49"/>
      <c r="H28" s="8" t="s">
        <v>25</v>
      </c>
      <c r="I28" s="366"/>
      <c r="J28" s="35" t="s">
        <v>54</v>
      </c>
      <c r="K28" s="50"/>
      <c r="O28" s="51"/>
      <c r="P28" s="2">
        <v>2.004</v>
      </c>
      <c r="Q28" s="2">
        <v>15.05</v>
      </c>
      <c r="R28" s="2">
        <f>49.06-14.32</f>
        <v>34.74</v>
      </c>
      <c r="T28" s="3">
        <v>5</v>
      </c>
      <c r="V28" s="16"/>
    </row>
    <row r="29" spans="1:215" x14ac:dyDescent="0.3">
      <c r="A29" s="354"/>
      <c r="B29" s="354"/>
      <c r="C29" s="32" t="s">
        <v>24</v>
      </c>
      <c r="D29" s="29">
        <v>3</v>
      </c>
      <c r="F29" s="53"/>
      <c r="G29" s="53"/>
      <c r="H29" s="40" t="s">
        <v>25</v>
      </c>
      <c r="I29" s="366"/>
      <c r="J29" s="35" t="s">
        <v>55</v>
      </c>
      <c r="K29" s="50"/>
      <c r="O29" s="51"/>
      <c r="P29" s="2">
        <v>8.7110000000000003</v>
      </c>
      <c r="Q29" s="2">
        <v>15.1</v>
      </c>
      <c r="R29" s="2">
        <f>52.97-14.48</f>
        <v>38.489999999999995</v>
      </c>
      <c r="T29" s="3">
        <v>5</v>
      </c>
      <c r="V29" s="16"/>
    </row>
    <row r="30" spans="1:215" x14ac:dyDescent="0.3">
      <c r="A30" s="354"/>
      <c r="B30" s="354"/>
      <c r="C30" s="32" t="s">
        <v>24</v>
      </c>
      <c r="D30" s="29">
        <v>4</v>
      </c>
      <c r="F30" s="53"/>
      <c r="G30" s="53"/>
      <c r="H30" s="40" t="s">
        <v>25</v>
      </c>
      <c r="I30" s="366"/>
      <c r="J30" s="35" t="s">
        <v>56</v>
      </c>
      <c r="K30" s="50"/>
      <c r="O30" s="51"/>
      <c r="P30" s="2">
        <v>9.3689999999999998</v>
      </c>
      <c r="Q30" s="2">
        <v>15.15</v>
      </c>
      <c r="R30" s="2">
        <f>59.18-14.64</f>
        <v>44.54</v>
      </c>
      <c r="T30" s="3">
        <v>5</v>
      </c>
      <c r="V30" s="16"/>
    </row>
    <row r="31" spans="1:215" s="5" customFormat="1" x14ac:dyDescent="0.3">
      <c r="A31" s="354"/>
      <c r="B31" s="354"/>
      <c r="C31" s="32" t="s">
        <v>24</v>
      </c>
      <c r="D31" s="31">
        <v>5</v>
      </c>
      <c r="E31" s="1"/>
      <c r="F31" s="52"/>
      <c r="G31" s="1"/>
      <c r="H31" s="40" t="s">
        <v>25</v>
      </c>
      <c r="I31" s="366"/>
      <c r="J31" s="35" t="s">
        <v>57</v>
      </c>
      <c r="K31" s="50"/>
      <c r="L31" s="1"/>
      <c r="M31" s="2"/>
      <c r="N31" s="2"/>
      <c r="O31" s="51"/>
      <c r="P31" s="2">
        <v>10.032999999999999</v>
      </c>
      <c r="Q31" s="2">
        <v>15.1</v>
      </c>
      <c r="R31" s="2">
        <f>57.6-14.39</f>
        <v>43.21</v>
      </c>
      <c r="S31" s="2"/>
      <c r="T31" s="3">
        <v>5</v>
      </c>
      <c r="U31" s="1"/>
      <c r="V31" s="16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</row>
    <row r="32" spans="1:215" x14ac:dyDescent="0.3">
      <c r="A32" s="354"/>
      <c r="B32" s="354"/>
      <c r="C32" s="32" t="s">
        <v>24</v>
      </c>
      <c r="D32" s="29">
        <v>6</v>
      </c>
      <c r="F32" s="52"/>
      <c r="H32" s="40" t="s">
        <v>25</v>
      </c>
      <c r="I32" s="366"/>
      <c r="J32" s="35" t="s">
        <v>58</v>
      </c>
      <c r="K32" s="50"/>
      <c r="O32" s="51"/>
      <c r="P32" s="2">
        <v>9.843</v>
      </c>
      <c r="Q32" s="2">
        <v>0</v>
      </c>
      <c r="R32" s="2">
        <v>0</v>
      </c>
      <c r="T32" s="3">
        <v>5</v>
      </c>
      <c r="V32" s="16"/>
    </row>
    <row r="33" spans="1:215" s="4" customFormat="1" x14ac:dyDescent="0.3">
      <c r="A33" s="355"/>
      <c r="B33" s="355"/>
      <c r="C33" s="38" t="s">
        <v>24</v>
      </c>
      <c r="D33" s="30">
        <v>7</v>
      </c>
      <c r="F33" s="39"/>
      <c r="H33" s="62" t="s">
        <v>25</v>
      </c>
      <c r="I33" s="369"/>
      <c r="J33" s="36" t="s">
        <v>59</v>
      </c>
      <c r="K33" s="18"/>
      <c r="M33" s="6"/>
      <c r="N33" s="6"/>
      <c r="O33" s="20"/>
      <c r="P33" s="6">
        <v>9.5530000000000008</v>
      </c>
      <c r="Q33" s="6">
        <v>15.09</v>
      </c>
      <c r="R33" s="6">
        <f>61.76-14.42</f>
        <v>47.339999999999996</v>
      </c>
      <c r="S33" s="6"/>
      <c r="T33" s="7">
        <v>5</v>
      </c>
      <c r="V33" s="21"/>
    </row>
    <row r="34" spans="1:215" x14ac:dyDescent="0.3">
      <c r="A34" s="353" t="s">
        <v>22</v>
      </c>
      <c r="B34" s="353" t="s">
        <v>60</v>
      </c>
      <c r="C34" s="32" t="s">
        <v>24</v>
      </c>
      <c r="D34" s="31">
        <v>1</v>
      </c>
      <c r="F34" s="52"/>
      <c r="H34" s="40" t="s">
        <v>25</v>
      </c>
      <c r="I34" s="362">
        <v>45127</v>
      </c>
      <c r="J34" s="40" t="s">
        <v>61</v>
      </c>
      <c r="K34" s="50"/>
      <c r="O34" s="51"/>
      <c r="P34" s="2">
        <v>1.9630000000000001</v>
      </c>
      <c r="Q34" s="2">
        <v>15</v>
      </c>
      <c r="R34" s="2">
        <f>60.36-14.44</f>
        <v>45.92</v>
      </c>
      <c r="T34" s="3">
        <v>5</v>
      </c>
      <c r="V34" s="16"/>
    </row>
    <row r="35" spans="1:215" x14ac:dyDescent="0.3">
      <c r="A35" s="354"/>
      <c r="B35" s="354"/>
      <c r="C35" s="32" t="s">
        <v>24</v>
      </c>
      <c r="D35" s="29">
        <v>2</v>
      </c>
      <c r="F35" s="52"/>
      <c r="H35" s="40" t="s">
        <v>25</v>
      </c>
      <c r="I35" s="363"/>
      <c r="J35" s="35" t="s">
        <v>62</v>
      </c>
      <c r="K35" s="50"/>
      <c r="O35" s="51"/>
      <c r="P35" s="2">
        <v>6.6779999999999999</v>
      </c>
      <c r="Q35" s="2">
        <v>15</v>
      </c>
      <c r="R35" s="2">
        <f>62.37-14.44</f>
        <v>47.93</v>
      </c>
      <c r="T35" s="3">
        <v>5</v>
      </c>
      <c r="V35" s="16"/>
    </row>
    <row r="36" spans="1:215" s="4" customFormat="1" x14ac:dyDescent="0.3">
      <c r="A36" s="354"/>
      <c r="B36" s="354"/>
      <c r="C36" s="32" t="s">
        <v>24</v>
      </c>
      <c r="D36" s="29">
        <v>3</v>
      </c>
      <c r="E36" s="1"/>
      <c r="F36" s="52"/>
      <c r="G36" s="1"/>
      <c r="H36" s="40" t="s">
        <v>25</v>
      </c>
      <c r="I36" s="363"/>
      <c r="J36" s="35" t="s">
        <v>63</v>
      </c>
      <c r="K36" s="50"/>
      <c r="L36" s="1"/>
      <c r="M36" s="2"/>
      <c r="N36" s="2"/>
      <c r="O36" s="51"/>
      <c r="P36" s="2">
        <v>5.859</v>
      </c>
      <c r="Q36" s="2">
        <v>15</v>
      </c>
      <c r="R36" s="2">
        <f>63.4-14.45</f>
        <v>48.95</v>
      </c>
      <c r="S36" s="2"/>
      <c r="T36" s="3">
        <v>5</v>
      </c>
      <c r="U36" s="1"/>
      <c r="V36" s="16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</row>
    <row r="37" spans="1:215" x14ac:dyDescent="0.3">
      <c r="A37" s="354"/>
      <c r="B37" s="354"/>
      <c r="C37" s="32" t="s">
        <v>24</v>
      </c>
      <c r="D37" s="31">
        <v>4</v>
      </c>
      <c r="F37" s="49"/>
      <c r="H37" s="8" t="s">
        <v>25</v>
      </c>
      <c r="I37" s="363"/>
      <c r="J37" s="35" t="s">
        <v>64</v>
      </c>
      <c r="K37" s="50"/>
      <c r="O37" s="51"/>
      <c r="P37" s="2">
        <v>6.9720000000000004</v>
      </c>
      <c r="Q37" s="2">
        <v>15</v>
      </c>
      <c r="R37" s="2">
        <f>55.87-14.41</f>
        <v>41.459999999999994</v>
      </c>
      <c r="T37" s="3">
        <v>5</v>
      </c>
      <c r="V37" s="16"/>
    </row>
    <row r="38" spans="1:215" s="4" customFormat="1" x14ac:dyDescent="0.3">
      <c r="A38" s="355"/>
      <c r="B38" s="355"/>
      <c r="C38" s="38" t="s">
        <v>24</v>
      </c>
      <c r="D38" s="30">
        <v>5</v>
      </c>
      <c r="F38" s="17"/>
      <c r="H38" s="42" t="s">
        <v>25</v>
      </c>
      <c r="I38" s="364"/>
      <c r="J38" s="36" t="s">
        <v>65</v>
      </c>
      <c r="K38" s="18"/>
      <c r="M38" s="6"/>
      <c r="N38" s="6"/>
      <c r="O38" s="20"/>
      <c r="P38" s="6">
        <v>9.5090000000000003</v>
      </c>
      <c r="Q38" s="6">
        <v>15</v>
      </c>
      <c r="R38" s="6">
        <f>51.96-14.49</f>
        <v>37.47</v>
      </c>
      <c r="S38" s="6"/>
      <c r="T38" s="7">
        <v>5</v>
      </c>
      <c r="V38" s="21"/>
    </row>
    <row r="39" spans="1:215" ht="24" customHeight="1" x14ac:dyDescent="0.25">
      <c r="A39" s="353" t="s">
        <v>22</v>
      </c>
      <c r="B39" s="353" t="s">
        <v>66</v>
      </c>
      <c r="C39" s="43" t="s">
        <v>45</v>
      </c>
      <c r="D39" s="8">
        <v>1</v>
      </c>
      <c r="H39" s="8" t="s">
        <v>25</v>
      </c>
      <c r="I39" s="365" t="s">
        <v>67</v>
      </c>
      <c r="J39" s="40" t="s">
        <v>68</v>
      </c>
      <c r="T39" s="3">
        <v>5</v>
      </c>
    </row>
    <row r="40" spans="1:215" x14ac:dyDescent="0.25">
      <c r="A40" s="354"/>
      <c r="B40" s="354"/>
      <c r="C40" s="43" t="s">
        <v>45</v>
      </c>
      <c r="D40" s="8">
        <v>2</v>
      </c>
      <c r="H40" s="8" t="s">
        <v>25</v>
      </c>
      <c r="I40" s="366"/>
      <c r="J40" s="35" t="s">
        <v>69</v>
      </c>
      <c r="P40" s="2">
        <v>8.4830000000000005</v>
      </c>
      <c r="Q40" s="2">
        <v>15.14</v>
      </c>
      <c r="R40" s="2">
        <f>60.78-12.86</f>
        <v>47.92</v>
      </c>
      <c r="T40" s="3">
        <v>5</v>
      </c>
    </row>
    <row r="41" spans="1:215" x14ac:dyDescent="0.25">
      <c r="A41" s="354"/>
      <c r="B41" s="354"/>
      <c r="C41" s="43" t="s">
        <v>45</v>
      </c>
      <c r="D41" s="8">
        <v>3</v>
      </c>
      <c r="H41" s="8" t="s">
        <v>25</v>
      </c>
      <c r="I41" s="366"/>
      <c r="J41" s="35" t="s">
        <v>70</v>
      </c>
      <c r="T41" s="3">
        <v>5</v>
      </c>
    </row>
    <row r="42" spans="1:215" x14ac:dyDescent="0.25">
      <c r="A42" s="354"/>
      <c r="B42" s="354"/>
      <c r="C42" s="43" t="s">
        <v>45</v>
      </c>
      <c r="D42" s="8">
        <v>4</v>
      </c>
      <c r="H42" s="8" t="s">
        <v>25</v>
      </c>
      <c r="I42" s="366"/>
      <c r="J42" s="35" t="s">
        <v>71</v>
      </c>
      <c r="T42" s="3">
        <v>5</v>
      </c>
    </row>
    <row r="43" spans="1:215" x14ac:dyDescent="0.25">
      <c r="A43" s="354"/>
      <c r="B43" s="354"/>
      <c r="C43" s="43" t="s">
        <v>45</v>
      </c>
      <c r="D43" s="8">
        <v>5</v>
      </c>
      <c r="H43" s="8" t="s">
        <v>25</v>
      </c>
      <c r="I43" s="366"/>
      <c r="J43" s="36" t="s">
        <v>72</v>
      </c>
      <c r="P43" s="2">
        <v>2.1680000000000001</v>
      </c>
      <c r="Q43" s="2">
        <v>15.2</v>
      </c>
      <c r="R43" s="2">
        <v>50.66</v>
      </c>
      <c r="T43" s="3">
        <v>5</v>
      </c>
    </row>
    <row r="44" spans="1:215" x14ac:dyDescent="0.25">
      <c r="A44" s="354"/>
      <c r="B44" s="354"/>
      <c r="C44" s="43" t="s">
        <v>45</v>
      </c>
      <c r="D44" s="8">
        <v>6</v>
      </c>
      <c r="H44" s="8" t="s">
        <v>25</v>
      </c>
      <c r="I44" s="366"/>
      <c r="J44" s="40" t="s">
        <v>73</v>
      </c>
      <c r="P44" s="2">
        <v>2.9950000000000001</v>
      </c>
      <c r="Q44" s="2">
        <v>15.19</v>
      </c>
      <c r="R44" s="2">
        <f>60.59-13.88</f>
        <v>46.71</v>
      </c>
      <c r="T44" s="3">
        <v>5</v>
      </c>
    </row>
    <row r="45" spans="1:215" x14ac:dyDescent="0.25">
      <c r="A45" s="354"/>
      <c r="B45" s="354"/>
      <c r="C45" s="43" t="s">
        <v>45</v>
      </c>
      <c r="D45" s="8">
        <v>7</v>
      </c>
      <c r="H45" s="8" t="s">
        <v>25</v>
      </c>
      <c r="I45" s="366"/>
      <c r="J45" s="35" t="s">
        <v>74</v>
      </c>
      <c r="P45" s="2">
        <v>5.6740000000000004</v>
      </c>
      <c r="Q45" s="2">
        <v>15.13</v>
      </c>
      <c r="R45" s="2">
        <f>63.15-12.91</f>
        <v>50.239999999999995</v>
      </c>
      <c r="T45" s="3">
        <v>5</v>
      </c>
    </row>
    <row r="46" spans="1:215" s="4" customFormat="1" x14ac:dyDescent="0.25">
      <c r="A46" s="355"/>
      <c r="B46" s="355"/>
      <c r="C46" s="44" t="s">
        <v>45</v>
      </c>
      <c r="D46" s="42">
        <v>8</v>
      </c>
      <c r="H46" s="42" t="s">
        <v>25</v>
      </c>
      <c r="I46" s="369"/>
      <c r="J46" s="36" t="s">
        <v>75</v>
      </c>
      <c r="M46" s="6"/>
      <c r="N46" s="6"/>
      <c r="O46" s="6"/>
      <c r="P46" s="6">
        <v>5.1379999999999999</v>
      </c>
      <c r="Q46" s="6">
        <v>15.33</v>
      </c>
      <c r="R46" s="6">
        <f>63.3-12.81</f>
        <v>50.489999999999995</v>
      </c>
      <c r="S46" s="6"/>
      <c r="T46" s="7">
        <v>5</v>
      </c>
    </row>
    <row r="47" spans="1:215" x14ac:dyDescent="0.25">
      <c r="A47" s="353" t="s">
        <v>22</v>
      </c>
      <c r="B47" s="353" t="s">
        <v>76</v>
      </c>
      <c r="C47" s="43" t="s">
        <v>24</v>
      </c>
      <c r="D47" s="8">
        <v>1</v>
      </c>
      <c r="H47" s="8" t="s">
        <v>25</v>
      </c>
      <c r="J47" s="40" t="s">
        <v>77</v>
      </c>
      <c r="P47" s="2">
        <v>1.85</v>
      </c>
      <c r="Q47" s="2">
        <v>15.11</v>
      </c>
      <c r="R47" s="2">
        <f>60.4-14.53</f>
        <v>45.87</v>
      </c>
      <c r="T47" s="3">
        <v>5</v>
      </c>
    </row>
    <row r="48" spans="1:215" x14ac:dyDescent="0.25">
      <c r="A48" s="354"/>
      <c r="B48" s="354"/>
      <c r="C48" s="43" t="s">
        <v>24</v>
      </c>
      <c r="D48" s="8">
        <v>2</v>
      </c>
      <c r="H48" s="8" t="s">
        <v>25</v>
      </c>
      <c r="J48" s="36" t="s">
        <v>78</v>
      </c>
      <c r="P48" s="2">
        <v>2.0009999999999999</v>
      </c>
      <c r="Q48" s="2">
        <v>15.21</v>
      </c>
      <c r="R48" s="2">
        <f>60.5-14.69</f>
        <v>45.81</v>
      </c>
      <c r="T48" s="3">
        <v>5</v>
      </c>
    </row>
    <row r="49" spans="1:20" x14ac:dyDescent="0.25">
      <c r="A49" s="354"/>
      <c r="B49" s="354"/>
      <c r="C49" s="43" t="s">
        <v>24</v>
      </c>
      <c r="D49" s="8">
        <v>3</v>
      </c>
      <c r="H49" s="8" t="s">
        <v>25</v>
      </c>
      <c r="J49" s="40" t="s">
        <v>79</v>
      </c>
      <c r="P49" s="2">
        <v>2.375</v>
      </c>
      <c r="Q49" s="2">
        <v>15.28</v>
      </c>
      <c r="R49" s="2">
        <f>61.81-16.43</f>
        <v>45.38</v>
      </c>
      <c r="T49" s="3">
        <v>5</v>
      </c>
    </row>
    <row r="50" spans="1:20" x14ac:dyDescent="0.25">
      <c r="A50" s="354"/>
      <c r="B50" s="354"/>
      <c r="C50" s="43" t="s">
        <v>24</v>
      </c>
      <c r="D50" s="8">
        <v>4</v>
      </c>
      <c r="H50" s="8" t="s">
        <v>25</v>
      </c>
      <c r="J50" s="35" t="s">
        <v>80</v>
      </c>
      <c r="P50" s="2">
        <v>1.5880000000000001</v>
      </c>
      <c r="Q50" s="2">
        <v>15.22</v>
      </c>
      <c r="R50" s="2">
        <f>58.92-14.53</f>
        <v>44.39</v>
      </c>
      <c r="T50" s="3">
        <v>5</v>
      </c>
    </row>
    <row r="51" spans="1:20" s="4" customFormat="1" x14ac:dyDescent="0.25">
      <c r="A51" s="355"/>
      <c r="B51" s="355"/>
      <c r="C51" s="44" t="s">
        <v>24</v>
      </c>
      <c r="D51" s="42">
        <v>5</v>
      </c>
      <c r="H51" s="42" t="s">
        <v>25</v>
      </c>
      <c r="J51" s="36" t="s">
        <v>81</v>
      </c>
      <c r="M51" s="6"/>
      <c r="N51" s="6"/>
      <c r="O51" s="6"/>
      <c r="P51" s="6">
        <v>3.242</v>
      </c>
      <c r="Q51" s="6">
        <v>15.18</v>
      </c>
      <c r="R51" s="6">
        <f>60.08-14.51</f>
        <v>45.57</v>
      </c>
      <c r="S51" s="6"/>
      <c r="T51" s="7">
        <v>5</v>
      </c>
    </row>
    <row r="52" spans="1:20" x14ac:dyDescent="0.25">
      <c r="A52" s="353" t="s">
        <v>22</v>
      </c>
      <c r="B52" s="353" t="s">
        <v>82</v>
      </c>
      <c r="C52" s="43" t="s">
        <v>45</v>
      </c>
      <c r="D52" s="8">
        <v>2</v>
      </c>
      <c r="H52" s="8" t="s">
        <v>25</v>
      </c>
      <c r="I52" s="367">
        <v>45167</v>
      </c>
      <c r="J52" s="40" t="s">
        <v>83</v>
      </c>
      <c r="P52" s="2">
        <v>11.052</v>
      </c>
      <c r="Q52" s="2">
        <v>15</v>
      </c>
      <c r="R52" s="2">
        <f>63.11-12.79</f>
        <v>50.32</v>
      </c>
      <c r="T52" s="3">
        <v>5</v>
      </c>
    </row>
    <row r="53" spans="1:20" x14ac:dyDescent="0.25">
      <c r="A53" s="354"/>
      <c r="B53" s="354"/>
      <c r="C53" s="43" t="s">
        <v>45</v>
      </c>
      <c r="D53" s="8">
        <v>3</v>
      </c>
      <c r="H53" s="8" t="s">
        <v>25</v>
      </c>
      <c r="I53" s="366"/>
      <c r="J53" s="35" t="s">
        <v>84</v>
      </c>
      <c r="P53" s="2">
        <v>1.575</v>
      </c>
      <c r="Q53" s="2">
        <v>15</v>
      </c>
      <c r="R53" s="2">
        <f>66.41-15.13</f>
        <v>51.279999999999994</v>
      </c>
      <c r="T53" s="3">
        <v>5</v>
      </c>
    </row>
    <row r="54" spans="1:20" x14ac:dyDescent="0.25">
      <c r="A54" s="354"/>
      <c r="B54" s="354"/>
      <c r="C54" s="43" t="s">
        <v>45</v>
      </c>
      <c r="D54" s="8">
        <v>4</v>
      </c>
      <c r="H54" s="8" t="s">
        <v>25</v>
      </c>
      <c r="I54" s="366"/>
      <c r="J54" s="35" t="s">
        <v>85</v>
      </c>
      <c r="P54" s="2">
        <v>7.0010000000000003</v>
      </c>
      <c r="Q54" s="2">
        <v>15</v>
      </c>
      <c r="R54" s="2">
        <f>62.8-12.82</f>
        <v>49.98</v>
      </c>
      <c r="T54" s="3">
        <v>5</v>
      </c>
    </row>
    <row r="55" spans="1:20" x14ac:dyDescent="0.25">
      <c r="A55" s="354"/>
      <c r="B55" s="354"/>
      <c r="C55" s="43" t="s">
        <v>45</v>
      </c>
      <c r="D55" s="8">
        <v>5</v>
      </c>
      <c r="H55" s="8" t="s">
        <v>25</v>
      </c>
      <c r="I55" s="366"/>
      <c r="J55" s="35" t="s">
        <v>86</v>
      </c>
      <c r="P55" s="2">
        <v>4.7930000000000001</v>
      </c>
      <c r="Q55" s="2">
        <v>15</v>
      </c>
      <c r="R55" s="2">
        <f>64.31-12.78</f>
        <v>51.53</v>
      </c>
      <c r="T55" s="3">
        <v>5</v>
      </c>
    </row>
    <row r="56" spans="1:20" x14ac:dyDescent="0.25">
      <c r="A56" s="354"/>
      <c r="B56" s="354"/>
      <c r="C56" s="43" t="s">
        <v>45</v>
      </c>
      <c r="D56" s="8">
        <v>6</v>
      </c>
      <c r="H56" s="8" t="s">
        <v>25</v>
      </c>
      <c r="I56" s="366"/>
      <c r="J56" s="35" t="s">
        <v>87</v>
      </c>
      <c r="P56" s="2">
        <v>9.9890000000000008</v>
      </c>
      <c r="Q56" s="2">
        <v>15</v>
      </c>
      <c r="R56" s="2">
        <f>65.39-12.88</f>
        <v>52.51</v>
      </c>
      <c r="T56" s="3">
        <v>5</v>
      </c>
    </row>
    <row r="57" spans="1:20" x14ac:dyDescent="0.25">
      <c r="A57" s="354"/>
      <c r="B57" s="354"/>
      <c r="C57" s="43" t="s">
        <v>45</v>
      </c>
      <c r="D57" s="8">
        <v>7</v>
      </c>
      <c r="H57" s="8" t="s">
        <v>25</v>
      </c>
      <c r="I57" s="366"/>
      <c r="J57" s="35" t="s">
        <v>88</v>
      </c>
      <c r="P57" s="2">
        <v>10.369</v>
      </c>
      <c r="Q57" s="2">
        <v>15</v>
      </c>
      <c r="R57" s="2">
        <f>66.16-12.82</f>
        <v>53.339999999999996</v>
      </c>
      <c r="T57" s="3">
        <v>5</v>
      </c>
    </row>
    <row r="58" spans="1:20" s="4" customFormat="1" x14ac:dyDescent="0.25">
      <c r="A58" s="355"/>
      <c r="B58" s="355"/>
      <c r="C58" s="44" t="s">
        <v>45</v>
      </c>
      <c r="D58" s="42">
        <v>8</v>
      </c>
      <c r="H58" s="42" t="s">
        <v>25</v>
      </c>
      <c r="I58" s="369"/>
      <c r="J58" s="36" t="s">
        <v>89</v>
      </c>
      <c r="M58" s="6"/>
      <c r="N58" s="6"/>
      <c r="O58" s="6"/>
      <c r="P58" s="6">
        <v>11.682</v>
      </c>
      <c r="Q58" s="6">
        <v>15</v>
      </c>
      <c r="R58" s="6">
        <f>66.05-12.81</f>
        <v>53.239999999999995</v>
      </c>
      <c r="S58" s="6"/>
      <c r="T58" s="7">
        <v>5</v>
      </c>
    </row>
    <row r="59" spans="1:20" x14ac:dyDescent="0.25">
      <c r="A59" s="353" t="s">
        <v>22</v>
      </c>
      <c r="B59" s="353" t="s">
        <v>90</v>
      </c>
      <c r="C59" s="43" t="s">
        <v>24</v>
      </c>
      <c r="D59" s="8">
        <v>1</v>
      </c>
      <c r="H59" s="8" t="s">
        <v>25</v>
      </c>
      <c r="I59" s="367">
        <v>45174</v>
      </c>
      <c r="J59" s="40" t="s">
        <v>91</v>
      </c>
      <c r="P59" s="2">
        <v>5.8579999999999997</v>
      </c>
      <c r="Q59" s="2">
        <v>15</v>
      </c>
      <c r="R59" s="2">
        <f>59.8-14.47</f>
        <v>45.33</v>
      </c>
      <c r="T59" s="3">
        <v>5</v>
      </c>
    </row>
    <row r="60" spans="1:20" x14ac:dyDescent="0.25">
      <c r="A60" s="354"/>
      <c r="B60" s="354"/>
      <c r="C60" s="43" t="s">
        <v>24</v>
      </c>
      <c r="D60" s="8">
        <v>2</v>
      </c>
      <c r="H60" s="8" t="s">
        <v>25</v>
      </c>
      <c r="I60" s="366"/>
      <c r="J60" s="35" t="s">
        <v>92</v>
      </c>
      <c r="P60" s="2">
        <v>7.6970000000000001</v>
      </c>
      <c r="Q60" s="2">
        <v>15</v>
      </c>
      <c r="R60" s="2">
        <f>58.95-14.42</f>
        <v>44.53</v>
      </c>
      <c r="T60" s="3">
        <v>5</v>
      </c>
    </row>
    <row r="61" spans="1:20" x14ac:dyDescent="0.25">
      <c r="A61" s="354"/>
      <c r="B61" s="354"/>
      <c r="C61" s="43" t="s">
        <v>24</v>
      </c>
      <c r="D61" s="8">
        <v>3</v>
      </c>
      <c r="H61" s="8" t="s">
        <v>25</v>
      </c>
      <c r="I61" s="366"/>
      <c r="J61" s="35" t="s">
        <v>93</v>
      </c>
      <c r="P61" s="2">
        <v>8.3290000000000006</v>
      </c>
      <c r="Q61" s="2">
        <v>15</v>
      </c>
      <c r="R61" s="2">
        <f>56.74-14.43</f>
        <v>42.31</v>
      </c>
      <c r="T61" s="3">
        <v>5</v>
      </c>
    </row>
    <row r="62" spans="1:20" x14ac:dyDescent="0.25">
      <c r="A62" s="354"/>
      <c r="B62" s="354"/>
      <c r="C62" s="43" t="s">
        <v>24</v>
      </c>
      <c r="D62" s="8">
        <v>4</v>
      </c>
      <c r="H62" s="8" t="s">
        <v>25</v>
      </c>
      <c r="I62" s="366"/>
      <c r="J62" s="35" t="s">
        <v>94</v>
      </c>
      <c r="P62" s="2">
        <v>6.415</v>
      </c>
      <c r="Q62" s="2">
        <v>15</v>
      </c>
      <c r="R62" s="2">
        <f>57.65-14.36</f>
        <v>43.29</v>
      </c>
      <c r="T62" s="3">
        <v>5</v>
      </c>
    </row>
    <row r="63" spans="1:20" x14ac:dyDescent="0.25">
      <c r="A63" s="354"/>
      <c r="B63" s="354"/>
      <c r="C63" s="43" t="s">
        <v>24</v>
      </c>
      <c r="D63" s="8">
        <v>5</v>
      </c>
      <c r="H63" s="8" t="s">
        <v>25</v>
      </c>
      <c r="I63" s="366"/>
      <c r="J63" s="35" t="s">
        <v>95</v>
      </c>
      <c r="P63" s="2">
        <v>7.1539999999999999</v>
      </c>
      <c r="Q63" s="2">
        <v>15</v>
      </c>
      <c r="R63" s="2">
        <f>54.71-14.41</f>
        <v>40.299999999999997</v>
      </c>
      <c r="T63" s="3">
        <v>5</v>
      </c>
    </row>
    <row r="64" spans="1:20" x14ac:dyDescent="0.25">
      <c r="A64" s="354"/>
      <c r="B64" s="354"/>
      <c r="C64" s="43" t="s">
        <v>24</v>
      </c>
      <c r="D64" s="8">
        <v>6</v>
      </c>
      <c r="H64" s="8" t="s">
        <v>25</v>
      </c>
      <c r="I64" s="366"/>
      <c r="J64" s="35" t="s">
        <v>96</v>
      </c>
      <c r="P64" s="2">
        <v>8.5280000000000005</v>
      </c>
      <c r="Q64" s="2">
        <v>15</v>
      </c>
      <c r="R64" s="2">
        <f>56.63-14.39</f>
        <v>42.24</v>
      </c>
      <c r="T64" s="3">
        <v>5</v>
      </c>
    </row>
    <row r="65" spans="1:20" x14ac:dyDescent="0.25">
      <c r="A65" s="354"/>
      <c r="B65" s="354"/>
      <c r="C65" s="43" t="s">
        <v>24</v>
      </c>
      <c r="D65" s="8">
        <v>7</v>
      </c>
      <c r="H65" s="8" t="s">
        <v>25</v>
      </c>
      <c r="I65" s="366"/>
      <c r="J65" s="35" t="s">
        <v>97</v>
      </c>
      <c r="P65" s="2">
        <v>5.87</v>
      </c>
      <c r="Q65" s="2">
        <v>15</v>
      </c>
      <c r="R65" s="2">
        <f>58.65-14.43</f>
        <v>44.22</v>
      </c>
      <c r="T65" s="3">
        <v>5</v>
      </c>
    </row>
    <row r="66" spans="1:20" x14ac:dyDescent="0.25">
      <c r="A66" s="354"/>
      <c r="B66" s="354"/>
      <c r="C66" s="43" t="s">
        <v>24</v>
      </c>
      <c r="D66" s="8">
        <v>8</v>
      </c>
      <c r="H66" s="8" t="s">
        <v>25</v>
      </c>
      <c r="I66" s="366"/>
      <c r="J66" s="35" t="s">
        <v>98</v>
      </c>
      <c r="P66" s="2">
        <v>4.5199999999999996</v>
      </c>
      <c r="Q66" s="2">
        <v>15</v>
      </c>
      <c r="R66" s="2">
        <f>47.87-14.42</f>
        <v>33.449999999999996</v>
      </c>
      <c r="T66" s="3">
        <v>5</v>
      </c>
    </row>
    <row r="67" spans="1:20" x14ac:dyDescent="0.25">
      <c r="A67" s="355"/>
      <c r="B67" s="355"/>
      <c r="C67" s="43" t="s">
        <v>24</v>
      </c>
      <c r="D67" s="8">
        <v>9</v>
      </c>
      <c r="H67" s="8" t="s">
        <v>25</v>
      </c>
      <c r="I67" s="369"/>
      <c r="J67" s="35" t="s">
        <v>99</v>
      </c>
      <c r="K67" s="4"/>
      <c r="P67" s="2">
        <v>5.2130000000000001</v>
      </c>
      <c r="Q67" s="2">
        <v>15</v>
      </c>
      <c r="R67" s="2">
        <f>47.2-14.4</f>
        <v>32.800000000000004</v>
      </c>
      <c r="T67" s="3">
        <v>5</v>
      </c>
    </row>
    <row r="68" spans="1:20" s="9" customFormat="1" x14ac:dyDescent="0.25">
      <c r="A68" s="353" t="s">
        <v>100</v>
      </c>
      <c r="B68" s="353" t="s">
        <v>101</v>
      </c>
      <c r="C68" s="45" t="s">
        <v>24</v>
      </c>
      <c r="D68" s="41">
        <v>1</v>
      </c>
      <c r="G68" s="9" t="s">
        <v>102</v>
      </c>
      <c r="H68" s="41" t="s">
        <v>102</v>
      </c>
      <c r="I68" s="367">
        <v>45173</v>
      </c>
      <c r="J68" s="35" t="s">
        <v>103</v>
      </c>
      <c r="K68" s="2">
        <v>2.2967</v>
      </c>
      <c r="M68" s="12">
        <v>2.63</v>
      </c>
      <c r="N68" s="12"/>
      <c r="O68" s="12"/>
      <c r="P68" s="12">
        <v>6.0279999999999996</v>
      </c>
      <c r="Q68" s="12">
        <v>15</v>
      </c>
      <c r="R68" s="12">
        <f>59.41-15.16</f>
        <v>44.25</v>
      </c>
      <c r="S68" s="12"/>
      <c r="T68" s="14">
        <v>5</v>
      </c>
    </row>
    <row r="69" spans="1:20" x14ac:dyDescent="0.25">
      <c r="A69" s="354"/>
      <c r="B69" s="354"/>
      <c r="C69" s="43" t="s">
        <v>24</v>
      </c>
      <c r="D69" s="8">
        <v>2</v>
      </c>
      <c r="G69" s="1" t="s">
        <v>102</v>
      </c>
      <c r="H69" s="8" t="s">
        <v>102</v>
      </c>
      <c r="I69" s="366"/>
      <c r="J69" s="35" t="s">
        <v>104</v>
      </c>
      <c r="K69" s="2">
        <v>1.71075</v>
      </c>
      <c r="M69" s="2">
        <v>1.89</v>
      </c>
      <c r="P69" s="2">
        <v>4.3869999999999996</v>
      </c>
      <c r="Q69" s="2">
        <v>15</v>
      </c>
      <c r="R69" s="2">
        <f>58.34-16.68</f>
        <v>41.660000000000004</v>
      </c>
      <c r="T69" s="3">
        <v>5</v>
      </c>
    </row>
    <row r="70" spans="1:20" x14ac:dyDescent="0.25">
      <c r="A70" s="354"/>
      <c r="B70" s="354"/>
      <c r="C70" s="43" t="s">
        <v>24</v>
      </c>
      <c r="D70" s="8">
        <v>3</v>
      </c>
      <c r="G70" s="1" t="s">
        <v>102</v>
      </c>
      <c r="H70" s="8" t="s">
        <v>102</v>
      </c>
      <c r="I70" s="366"/>
      <c r="J70" s="35" t="s">
        <v>105</v>
      </c>
      <c r="K70" s="2">
        <v>1.5345499999999999</v>
      </c>
      <c r="M70" s="2">
        <v>1.86</v>
      </c>
      <c r="P70" s="2">
        <v>3.9849999999999999</v>
      </c>
      <c r="Q70" s="2">
        <v>15</v>
      </c>
      <c r="R70" s="2">
        <f>55.22-14.43</f>
        <v>40.79</v>
      </c>
      <c r="T70" s="3">
        <v>5</v>
      </c>
    </row>
    <row r="71" spans="1:20" x14ac:dyDescent="0.25">
      <c r="A71" s="354"/>
      <c r="B71" s="354"/>
      <c r="C71" s="43" t="s">
        <v>24</v>
      </c>
      <c r="D71" s="8">
        <v>4</v>
      </c>
      <c r="G71" s="1" t="s">
        <v>106</v>
      </c>
      <c r="H71" s="8" t="s">
        <v>106</v>
      </c>
      <c r="I71" s="366"/>
      <c r="J71" s="35" t="s">
        <v>107</v>
      </c>
      <c r="K71" s="2">
        <v>2.2645</v>
      </c>
      <c r="M71" s="2">
        <v>2.2999999999999998</v>
      </c>
      <c r="P71" s="2">
        <v>4.4889999999999999</v>
      </c>
      <c r="Q71" s="2">
        <v>15</v>
      </c>
      <c r="R71" s="2">
        <f>47.78-14.64</f>
        <v>33.14</v>
      </c>
      <c r="T71" s="3">
        <v>5</v>
      </c>
    </row>
    <row r="72" spans="1:20" x14ac:dyDescent="0.25">
      <c r="A72" s="354"/>
      <c r="B72" s="354"/>
      <c r="C72" s="43" t="s">
        <v>24</v>
      </c>
      <c r="D72" s="8">
        <v>5</v>
      </c>
      <c r="G72" s="1" t="s">
        <v>106</v>
      </c>
      <c r="H72" s="8" t="s">
        <v>106</v>
      </c>
      <c r="I72" s="366"/>
      <c r="J72" s="35" t="s">
        <v>108</v>
      </c>
      <c r="K72" s="2">
        <v>2.3264</v>
      </c>
      <c r="M72" s="2">
        <v>2.89</v>
      </c>
      <c r="P72" s="2">
        <v>6.3970000000000002</v>
      </c>
      <c r="Q72" s="2">
        <v>15</v>
      </c>
      <c r="R72" s="2">
        <f>58.79-14.3</f>
        <v>44.489999999999995</v>
      </c>
      <c r="T72" s="3">
        <v>5</v>
      </c>
    </row>
    <row r="73" spans="1:20" x14ac:dyDescent="0.25">
      <c r="A73" s="354"/>
      <c r="B73" s="354"/>
      <c r="C73" s="43" t="s">
        <v>24</v>
      </c>
      <c r="D73" s="8">
        <v>6</v>
      </c>
      <c r="G73" s="1" t="s">
        <v>106</v>
      </c>
      <c r="H73" s="8" t="s">
        <v>106</v>
      </c>
      <c r="I73" s="366"/>
      <c r="J73" s="35" t="s">
        <v>109</v>
      </c>
      <c r="K73" s="2">
        <v>2.0682</v>
      </c>
      <c r="M73" s="2">
        <v>2.54</v>
      </c>
      <c r="P73" s="2">
        <v>4.4640000000000004</v>
      </c>
      <c r="Q73" s="2">
        <v>15</v>
      </c>
      <c r="R73" s="2">
        <f>59.82-14.45</f>
        <v>45.370000000000005</v>
      </c>
      <c r="T73" s="3">
        <v>5</v>
      </c>
    </row>
    <row r="74" spans="1:20" x14ac:dyDescent="0.25">
      <c r="A74" s="354"/>
      <c r="B74" s="354"/>
      <c r="C74" s="43" t="s">
        <v>24</v>
      </c>
      <c r="D74" s="8">
        <v>7</v>
      </c>
      <c r="G74" s="1" t="s">
        <v>110</v>
      </c>
      <c r="H74" s="8" t="s">
        <v>110</v>
      </c>
      <c r="I74" s="366"/>
      <c r="J74" s="35" t="s">
        <v>111</v>
      </c>
      <c r="K74" s="2">
        <v>1.71855</v>
      </c>
      <c r="M74" s="2">
        <v>1.83</v>
      </c>
      <c r="P74" s="2">
        <v>4.4539999999999997</v>
      </c>
      <c r="Q74" s="2">
        <v>15</v>
      </c>
      <c r="R74" s="2">
        <f>57.49-14.42</f>
        <v>43.07</v>
      </c>
      <c r="T74" s="3">
        <v>5</v>
      </c>
    </row>
    <row r="75" spans="1:20" x14ac:dyDescent="0.25">
      <c r="A75" s="354"/>
      <c r="B75" s="354"/>
      <c r="C75" s="43" t="s">
        <v>24</v>
      </c>
      <c r="D75" s="8">
        <v>8</v>
      </c>
      <c r="G75" s="1" t="s">
        <v>110</v>
      </c>
      <c r="H75" s="8" t="s">
        <v>110</v>
      </c>
      <c r="I75" s="366"/>
      <c r="J75" s="35" t="s">
        <v>112</v>
      </c>
      <c r="K75" s="2">
        <v>2.8712499999999999</v>
      </c>
      <c r="M75" s="2">
        <v>3.04</v>
      </c>
      <c r="P75" s="2">
        <v>7.4619999999999997</v>
      </c>
      <c r="Q75" s="2">
        <v>15</v>
      </c>
      <c r="R75" s="2">
        <f>58.04-14.56</f>
        <v>43.48</v>
      </c>
      <c r="T75" s="3">
        <v>5</v>
      </c>
    </row>
    <row r="76" spans="1:20" x14ac:dyDescent="0.25">
      <c r="A76" s="354"/>
      <c r="B76" s="354"/>
      <c r="C76" s="43" t="s">
        <v>24</v>
      </c>
      <c r="D76" s="8">
        <v>9</v>
      </c>
      <c r="G76" s="1" t="s">
        <v>110</v>
      </c>
      <c r="H76" s="8" t="s">
        <v>110</v>
      </c>
      <c r="I76" s="369"/>
      <c r="J76" s="35" t="s">
        <v>113</v>
      </c>
      <c r="K76" s="6">
        <v>2.3623499999999997</v>
      </c>
      <c r="M76" s="2">
        <v>2.77</v>
      </c>
      <c r="P76" s="2">
        <v>6.3630000000000004</v>
      </c>
      <c r="Q76" s="2">
        <v>15</v>
      </c>
      <c r="R76" s="2">
        <f>60.08-16.68</f>
        <v>43.4</v>
      </c>
      <c r="T76" s="3">
        <v>5</v>
      </c>
    </row>
    <row r="77" spans="1:20" s="9" customFormat="1" x14ac:dyDescent="0.25">
      <c r="A77" s="354"/>
      <c r="B77" s="354"/>
      <c r="C77" s="45" t="s">
        <v>24</v>
      </c>
      <c r="D77" s="41">
        <v>10</v>
      </c>
      <c r="G77" s="9" t="s">
        <v>114</v>
      </c>
      <c r="H77" s="41" t="s">
        <v>114</v>
      </c>
      <c r="I77" s="367">
        <v>45176</v>
      </c>
      <c r="J77" s="35" t="s">
        <v>115</v>
      </c>
      <c r="K77" s="2">
        <v>2.1028000000000002</v>
      </c>
      <c r="M77" s="12" t="s">
        <v>116</v>
      </c>
      <c r="N77" s="12"/>
      <c r="O77" s="12"/>
      <c r="P77" s="12">
        <v>5.3840000000000003</v>
      </c>
      <c r="Q77" s="12">
        <v>15</v>
      </c>
      <c r="R77" s="12">
        <f>57-16.1</f>
        <v>40.9</v>
      </c>
      <c r="S77" s="12"/>
      <c r="T77" s="14">
        <v>5</v>
      </c>
    </row>
    <row r="78" spans="1:20" x14ac:dyDescent="0.25">
      <c r="A78" s="354"/>
      <c r="B78" s="354"/>
      <c r="C78" s="43" t="s">
        <v>24</v>
      </c>
      <c r="D78" s="8">
        <v>11</v>
      </c>
      <c r="G78" s="1" t="s">
        <v>114</v>
      </c>
      <c r="H78" s="8" t="s">
        <v>114</v>
      </c>
      <c r="I78" s="366"/>
      <c r="J78" s="35" t="s">
        <v>117</v>
      </c>
      <c r="K78" s="2">
        <v>1.1060999999999999</v>
      </c>
      <c r="M78" s="2" t="s">
        <v>116</v>
      </c>
      <c r="P78" s="2">
        <v>3.1829999999999998</v>
      </c>
      <c r="Q78" s="2">
        <v>15</v>
      </c>
      <c r="R78" s="2">
        <f>60.23-14.44</f>
        <v>45.79</v>
      </c>
      <c r="T78" s="3">
        <v>5</v>
      </c>
    </row>
    <row r="79" spans="1:20" s="4" customFormat="1" x14ac:dyDescent="0.25">
      <c r="A79" s="355"/>
      <c r="B79" s="355"/>
      <c r="C79" s="44" t="s">
        <v>24</v>
      </c>
      <c r="D79" s="42">
        <v>12</v>
      </c>
      <c r="G79" s="4" t="s">
        <v>114</v>
      </c>
      <c r="H79" s="42" t="s">
        <v>114</v>
      </c>
      <c r="I79" s="369"/>
      <c r="J79" s="36" t="s">
        <v>118</v>
      </c>
      <c r="K79" s="6">
        <v>0.82445000000000002</v>
      </c>
      <c r="M79" s="6" t="s">
        <v>116</v>
      </c>
      <c r="N79" s="6"/>
      <c r="O79" s="6"/>
      <c r="P79" s="6">
        <v>2.3940000000000001</v>
      </c>
      <c r="Q79" s="6">
        <v>15</v>
      </c>
      <c r="R79" s="6">
        <f>60.56-16.31</f>
        <v>44.25</v>
      </c>
      <c r="S79" s="6"/>
      <c r="T79" s="7">
        <v>5</v>
      </c>
    </row>
    <row r="80" spans="1:20" x14ac:dyDescent="0.25">
      <c r="A80" s="353" t="s">
        <v>100</v>
      </c>
      <c r="B80" s="353" t="s">
        <v>101</v>
      </c>
      <c r="C80" s="43" t="s">
        <v>24</v>
      </c>
      <c r="D80" s="8">
        <v>13</v>
      </c>
      <c r="G80" s="1" t="s">
        <v>119</v>
      </c>
      <c r="H80" s="8" t="s">
        <v>119</v>
      </c>
      <c r="I80" s="367">
        <v>45198</v>
      </c>
      <c r="J80" s="40" t="s">
        <v>120</v>
      </c>
      <c r="K80" s="2">
        <v>3.5961999999999996</v>
      </c>
      <c r="M80" s="2">
        <v>3.24</v>
      </c>
      <c r="P80" s="2">
        <v>0.96</v>
      </c>
      <c r="Q80" s="2">
        <v>15</v>
      </c>
      <c r="R80" s="2">
        <f>39.92-14.36</f>
        <v>25.560000000000002</v>
      </c>
      <c r="T80" s="3">
        <v>5</v>
      </c>
    </row>
    <row r="81" spans="1:20" x14ac:dyDescent="0.25">
      <c r="A81" s="354"/>
      <c r="B81" s="354"/>
      <c r="C81" s="43" t="s">
        <v>24</v>
      </c>
      <c r="D81" s="8">
        <v>14</v>
      </c>
      <c r="G81" s="1" t="s">
        <v>119</v>
      </c>
      <c r="H81" s="8" t="s">
        <v>119</v>
      </c>
      <c r="I81" s="368"/>
      <c r="J81" s="35" t="s">
        <v>121</v>
      </c>
      <c r="K81" s="2">
        <v>1.6039000000000001</v>
      </c>
      <c r="M81" s="2">
        <v>1.65</v>
      </c>
      <c r="P81" s="2">
        <v>1.5489999999999999</v>
      </c>
      <c r="Q81" s="2">
        <v>15</v>
      </c>
      <c r="R81" s="2">
        <f>39.29-14.41</f>
        <v>24.88</v>
      </c>
      <c r="T81" s="3">
        <v>5</v>
      </c>
    </row>
    <row r="82" spans="1:20" x14ac:dyDescent="0.25">
      <c r="A82" s="354"/>
      <c r="B82" s="354"/>
      <c r="C82" s="43" t="s">
        <v>24</v>
      </c>
      <c r="D82" s="8">
        <v>15</v>
      </c>
      <c r="G82" s="1" t="s">
        <v>119</v>
      </c>
      <c r="H82" s="8" t="s">
        <v>119</v>
      </c>
      <c r="I82" s="368"/>
      <c r="J82" s="35" t="s">
        <v>122</v>
      </c>
      <c r="K82" s="2">
        <v>1.34765</v>
      </c>
      <c r="M82" s="2">
        <v>1.41</v>
      </c>
      <c r="P82" s="2">
        <v>1.3240000000000001</v>
      </c>
      <c r="Q82" s="2">
        <v>15</v>
      </c>
      <c r="R82" s="2">
        <f>39.46-14.51</f>
        <v>24.950000000000003</v>
      </c>
      <c r="T82" s="3">
        <v>5</v>
      </c>
    </row>
    <row r="83" spans="1:20" x14ac:dyDescent="0.25">
      <c r="A83" s="354"/>
      <c r="B83" s="354"/>
      <c r="C83" s="43" t="s">
        <v>24</v>
      </c>
      <c r="D83" s="8">
        <v>16</v>
      </c>
      <c r="G83" s="1" t="s">
        <v>123</v>
      </c>
      <c r="H83" s="8" t="s">
        <v>123</v>
      </c>
      <c r="I83" s="368"/>
      <c r="J83" s="35" t="s">
        <v>124</v>
      </c>
      <c r="K83" s="2">
        <v>1.3103499999999999</v>
      </c>
      <c r="M83" s="2">
        <v>1.83</v>
      </c>
      <c r="P83" s="2">
        <v>2.0779999999999998</v>
      </c>
      <c r="Q83" s="2">
        <v>15</v>
      </c>
      <c r="R83" s="2">
        <f>38.07-14.26</f>
        <v>23.810000000000002</v>
      </c>
      <c r="T83" s="3">
        <v>5</v>
      </c>
    </row>
    <row r="84" spans="1:20" x14ac:dyDescent="0.25">
      <c r="A84" s="354"/>
      <c r="B84" s="354"/>
      <c r="C84" s="43" t="s">
        <v>24</v>
      </c>
      <c r="D84" s="8">
        <v>17</v>
      </c>
      <c r="G84" s="1" t="s">
        <v>123</v>
      </c>
      <c r="H84" s="8" t="s">
        <v>123</v>
      </c>
      <c r="I84" s="368"/>
      <c r="J84" s="35" t="s">
        <v>125</v>
      </c>
      <c r="K84" s="2">
        <v>1.6894500000000001</v>
      </c>
      <c r="M84" s="2">
        <v>2.21</v>
      </c>
      <c r="P84" s="2">
        <v>2.6269999999999998</v>
      </c>
      <c r="Q84" s="2">
        <v>15</v>
      </c>
      <c r="R84" s="2">
        <f>38.74-15.78</f>
        <v>22.96</v>
      </c>
      <c r="T84" s="3">
        <v>5</v>
      </c>
    </row>
    <row r="85" spans="1:20" x14ac:dyDescent="0.25">
      <c r="A85" s="354"/>
      <c r="B85" s="354"/>
      <c r="C85" s="43" t="s">
        <v>24</v>
      </c>
      <c r="D85" s="8">
        <v>18</v>
      </c>
      <c r="G85" s="1" t="s">
        <v>123</v>
      </c>
      <c r="H85" s="8" t="s">
        <v>123</v>
      </c>
      <c r="I85" s="368"/>
      <c r="J85" s="35" t="s">
        <v>126</v>
      </c>
      <c r="K85" s="2">
        <v>0.86080000000000001</v>
      </c>
      <c r="M85" s="2">
        <v>1.1599999999999999</v>
      </c>
      <c r="P85" s="2">
        <v>1.577</v>
      </c>
      <c r="Q85" s="2">
        <v>15</v>
      </c>
      <c r="R85" s="2">
        <f>39.17-14.43</f>
        <v>24.740000000000002</v>
      </c>
      <c r="T85" s="3">
        <v>5</v>
      </c>
    </row>
    <row r="86" spans="1:20" x14ac:dyDescent="0.25">
      <c r="A86" s="354"/>
      <c r="B86" s="354"/>
      <c r="C86" s="43" t="s">
        <v>24</v>
      </c>
      <c r="D86" s="8">
        <v>19</v>
      </c>
      <c r="G86" s="1" t="s">
        <v>127</v>
      </c>
      <c r="H86" s="8" t="s">
        <v>127</v>
      </c>
      <c r="I86" s="368"/>
      <c r="J86" s="35" t="s">
        <v>128</v>
      </c>
      <c r="K86" s="2">
        <v>1.3004</v>
      </c>
      <c r="M86" s="2">
        <v>1.52</v>
      </c>
      <c r="P86" s="2">
        <v>1.8919999999999999</v>
      </c>
      <c r="Q86" s="2">
        <v>15</v>
      </c>
      <c r="R86" s="2">
        <f>38.74-14.3</f>
        <v>24.44</v>
      </c>
      <c r="T86" s="3">
        <v>5</v>
      </c>
    </row>
    <row r="87" spans="1:20" x14ac:dyDescent="0.25">
      <c r="A87" s="354"/>
      <c r="B87" s="354"/>
      <c r="C87" s="43" t="s">
        <v>24</v>
      </c>
      <c r="D87" s="8">
        <v>20</v>
      </c>
      <c r="G87" s="1" t="s">
        <v>127</v>
      </c>
      <c r="H87" s="8" t="s">
        <v>127</v>
      </c>
      <c r="I87" s="368"/>
      <c r="J87" s="35" t="s">
        <v>129</v>
      </c>
      <c r="K87" s="2">
        <v>0.89065000000000005</v>
      </c>
      <c r="M87" s="2">
        <v>1.1100000000000001</v>
      </c>
      <c r="P87" s="2">
        <v>1.522</v>
      </c>
      <c r="Q87" s="2">
        <v>15</v>
      </c>
      <c r="R87" s="2">
        <f>40.18-14.34</f>
        <v>25.84</v>
      </c>
      <c r="T87" s="3">
        <v>5</v>
      </c>
    </row>
    <row r="88" spans="1:20" x14ac:dyDescent="0.25">
      <c r="A88" s="354"/>
      <c r="B88" s="354"/>
      <c r="C88" s="43" t="s">
        <v>24</v>
      </c>
      <c r="D88" s="8">
        <v>21</v>
      </c>
      <c r="G88" s="1" t="s">
        <v>127</v>
      </c>
      <c r="H88" s="8" t="s">
        <v>127</v>
      </c>
      <c r="I88" s="368"/>
      <c r="J88" s="35" t="s">
        <v>130</v>
      </c>
      <c r="K88" s="2">
        <v>0.74715000000000009</v>
      </c>
      <c r="M88" s="2">
        <v>1.18</v>
      </c>
      <c r="P88" s="2">
        <v>1.175</v>
      </c>
      <c r="Q88" s="2">
        <v>15</v>
      </c>
      <c r="R88" s="2">
        <f>37.8-14.38</f>
        <v>23.419999999999995</v>
      </c>
      <c r="T88" s="3">
        <v>5</v>
      </c>
    </row>
    <row r="89" spans="1:20" x14ac:dyDescent="0.25">
      <c r="A89" s="354"/>
      <c r="B89" s="354"/>
      <c r="C89" s="43" t="s">
        <v>24</v>
      </c>
      <c r="D89" s="8">
        <v>22</v>
      </c>
      <c r="G89" s="1" t="s">
        <v>131</v>
      </c>
      <c r="H89" s="8" t="s">
        <v>131</v>
      </c>
      <c r="I89" s="368"/>
      <c r="J89" s="35" t="s">
        <v>132</v>
      </c>
      <c r="K89" s="2">
        <v>1.4244000000000001</v>
      </c>
      <c r="M89" s="2">
        <v>1.79</v>
      </c>
      <c r="P89" s="2">
        <v>2.1320000000000001</v>
      </c>
      <c r="Q89" s="2">
        <v>15</v>
      </c>
      <c r="R89" s="2">
        <f>38.38-14.32</f>
        <v>24.060000000000002</v>
      </c>
      <c r="T89" s="3">
        <v>5</v>
      </c>
    </row>
    <row r="90" spans="1:20" x14ac:dyDescent="0.25">
      <c r="A90" s="354"/>
      <c r="B90" s="354"/>
      <c r="C90" s="43" t="s">
        <v>24</v>
      </c>
      <c r="D90" s="8">
        <v>23</v>
      </c>
      <c r="G90" s="1" t="s">
        <v>131</v>
      </c>
      <c r="H90" s="8" t="s">
        <v>131</v>
      </c>
      <c r="I90" s="368"/>
      <c r="J90" s="35" t="s">
        <v>133</v>
      </c>
      <c r="K90" s="2">
        <v>1.7998499999999999</v>
      </c>
      <c r="M90" s="2">
        <v>2.37</v>
      </c>
      <c r="P90" s="2">
        <v>2.8530000000000002</v>
      </c>
      <c r="Q90" s="2">
        <v>15</v>
      </c>
      <c r="R90" s="2">
        <f>39.35-14.33</f>
        <v>25.020000000000003</v>
      </c>
      <c r="T90" s="3">
        <v>5</v>
      </c>
    </row>
    <row r="91" spans="1:20" x14ac:dyDescent="0.25">
      <c r="A91" s="355"/>
      <c r="B91" s="354"/>
      <c r="C91" s="43" t="s">
        <v>24</v>
      </c>
      <c r="D91" s="8">
        <v>24</v>
      </c>
      <c r="G91" s="1" t="s">
        <v>131</v>
      </c>
      <c r="H91" s="8" t="s">
        <v>131</v>
      </c>
      <c r="I91" s="368"/>
      <c r="J91" s="35" t="s">
        <v>134</v>
      </c>
      <c r="K91" s="2">
        <v>1.2781999999999998</v>
      </c>
      <c r="M91" s="2">
        <v>1.71</v>
      </c>
      <c r="P91" s="2">
        <v>2.0270000000000001</v>
      </c>
      <c r="Q91" s="2">
        <v>15</v>
      </c>
      <c r="R91" s="2">
        <f>39.59-14.3</f>
        <v>25.290000000000003</v>
      </c>
      <c r="T91" s="3">
        <v>5</v>
      </c>
    </row>
    <row r="92" spans="1:20" s="9" customFormat="1" x14ac:dyDescent="0.25">
      <c r="A92" s="353" t="s">
        <v>100</v>
      </c>
      <c r="B92" s="356" t="s">
        <v>101</v>
      </c>
      <c r="C92" s="45" t="s">
        <v>24</v>
      </c>
      <c r="D92" s="41">
        <v>25</v>
      </c>
      <c r="G92" s="9" t="s">
        <v>110</v>
      </c>
      <c r="H92" s="41" t="s">
        <v>110</v>
      </c>
      <c r="I92" s="64">
        <v>45195</v>
      </c>
      <c r="J92" s="35" t="s">
        <v>135</v>
      </c>
      <c r="M92" s="12"/>
      <c r="N92" s="12"/>
      <c r="O92" s="12"/>
      <c r="P92" s="12"/>
      <c r="Q92" s="12"/>
      <c r="R92" s="12"/>
      <c r="S92" s="12"/>
      <c r="T92" s="14"/>
    </row>
    <row r="93" spans="1:20" s="57" customFormat="1" x14ac:dyDescent="0.25">
      <c r="A93" s="354"/>
      <c r="B93" s="357"/>
      <c r="C93" s="61" t="s">
        <v>24</v>
      </c>
      <c r="D93" s="58">
        <v>26</v>
      </c>
      <c r="G93" s="57" t="s">
        <v>110</v>
      </c>
      <c r="H93" s="58" t="s">
        <v>110</v>
      </c>
      <c r="I93" s="66">
        <v>45197</v>
      </c>
      <c r="J93" s="36" t="s">
        <v>136</v>
      </c>
      <c r="M93" s="59"/>
      <c r="N93" s="59"/>
      <c r="O93" s="59"/>
      <c r="P93" s="59"/>
      <c r="Q93" s="59"/>
      <c r="R93" s="59"/>
      <c r="S93" s="59"/>
      <c r="T93" s="60"/>
    </row>
    <row r="94" spans="1:20" s="4" customFormat="1" x14ac:dyDescent="0.25">
      <c r="A94" s="354"/>
      <c r="B94" s="358"/>
      <c r="C94" s="43" t="s">
        <v>24</v>
      </c>
      <c r="D94" s="8">
        <v>27</v>
      </c>
      <c r="G94" s="4" t="s">
        <v>110</v>
      </c>
      <c r="H94" s="42" t="s">
        <v>110</v>
      </c>
      <c r="I94" s="65">
        <v>45199</v>
      </c>
      <c r="J94" s="40" t="s">
        <v>137</v>
      </c>
      <c r="M94" s="6"/>
      <c r="N94" s="6"/>
      <c r="O94" s="6"/>
      <c r="P94" s="6"/>
      <c r="Q94" s="6"/>
      <c r="R94" s="6"/>
      <c r="S94" s="6"/>
      <c r="T94" s="7"/>
    </row>
    <row r="95" spans="1:20" x14ac:dyDescent="0.25">
      <c r="A95" s="353" t="s">
        <v>100</v>
      </c>
      <c r="B95" s="354" t="s">
        <v>138</v>
      </c>
      <c r="C95" s="45" t="s">
        <v>24</v>
      </c>
      <c r="D95" s="41">
        <v>1</v>
      </c>
      <c r="G95" s="1" t="s">
        <v>110</v>
      </c>
      <c r="H95" s="8" t="s">
        <v>110</v>
      </c>
      <c r="I95" s="359">
        <v>45212</v>
      </c>
      <c r="J95" s="41" t="s">
        <v>139</v>
      </c>
      <c r="K95" s="1">
        <v>0.76300000000000001</v>
      </c>
      <c r="M95" s="2">
        <v>0.99399999999999999</v>
      </c>
      <c r="P95" s="2">
        <v>1.456</v>
      </c>
      <c r="Q95" s="2">
        <v>15</v>
      </c>
      <c r="R95" s="2">
        <f>38.54-14.43</f>
        <v>24.11</v>
      </c>
      <c r="T95" s="3">
        <v>5</v>
      </c>
    </row>
    <row r="96" spans="1:20" x14ac:dyDescent="0.25">
      <c r="A96" s="354"/>
      <c r="B96" s="354"/>
      <c r="C96" s="43" t="s">
        <v>24</v>
      </c>
      <c r="D96" s="8">
        <v>3</v>
      </c>
      <c r="G96" s="1" t="s">
        <v>110</v>
      </c>
      <c r="H96" s="8" t="s">
        <v>110</v>
      </c>
      <c r="I96" s="360"/>
      <c r="J96" s="41" t="s">
        <v>140</v>
      </c>
      <c r="K96" s="1">
        <v>3.8039999999999998</v>
      </c>
      <c r="M96" s="2">
        <v>4.0419999999999998</v>
      </c>
      <c r="P96" s="2">
        <v>4.4640000000000004</v>
      </c>
      <c r="Q96" s="2">
        <v>15</v>
      </c>
      <c r="R96" s="2">
        <f>40.86-14.3</f>
        <v>26.56</v>
      </c>
      <c r="T96" s="3">
        <v>5</v>
      </c>
    </row>
    <row r="97" spans="1:20" x14ac:dyDescent="0.25">
      <c r="A97" s="354"/>
      <c r="B97" s="354"/>
      <c r="C97" s="43" t="s">
        <v>24</v>
      </c>
      <c r="D97" s="8">
        <v>4</v>
      </c>
      <c r="G97" s="1" t="s">
        <v>110</v>
      </c>
      <c r="H97" s="8" t="s">
        <v>110</v>
      </c>
      <c r="I97" s="360"/>
      <c r="J97" s="41" t="s">
        <v>141</v>
      </c>
      <c r="K97" s="1">
        <v>0.78100000000000003</v>
      </c>
      <c r="M97" s="2">
        <v>5.5990000000000002</v>
      </c>
      <c r="P97" s="2">
        <v>1.073</v>
      </c>
      <c r="Q97" s="2">
        <v>15</v>
      </c>
      <c r="R97" s="2">
        <f>39.82-14.38</f>
        <v>25.439999999999998</v>
      </c>
      <c r="T97" s="3">
        <v>5</v>
      </c>
    </row>
    <row r="98" spans="1:20" x14ac:dyDescent="0.25">
      <c r="A98" s="354"/>
      <c r="B98" s="354"/>
      <c r="C98" s="43" t="s">
        <v>24</v>
      </c>
      <c r="D98" s="8">
        <v>5</v>
      </c>
      <c r="G98" s="1" t="s">
        <v>110</v>
      </c>
      <c r="H98" s="8" t="s">
        <v>110</v>
      </c>
      <c r="I98" s="360"/>
      <c r="J98" s="41" t="s">
        <v>142</v>
      </c>
      <c r="K98" s="1">
        <v>3.13</v>
      </c>
      <c r="M98" s="2">
        <v>4.9320000000000004</v>
      </c>
      <c r="P98" s="2">
        <v>4.0019999999999998</v>
      </c>
      <c r="Q98" s="2">
        <v>15</v>
      </c>
      <c r="R98" s="2">
        <f>41.08-14.26</f>
        <v>26.82</v>
      </c>
      <c r="T98" s="3">
        <v>5</v>
      </c>
    </row>
    <row r="99" spans="1:20" x14ac:dyDescent="0.25">
      <c r="A99" s="354"/>
      <c r="B99" s="354"/>
      <c r="C99" s="43" t="s">
        <v>24</v>
      </c>
      <c r="D99" s="8">
        <v>6</v>
      </c>
      <c r="G99" s="1" t="s">
        <v>110</v>
      </c>
      <c r="H99" s="8" t="s">
        <v>110</v>
      </c>
      <c r="I99" s="360"/>
      <c r="J99" s="41" t="s">
        <v>143</v>
      </c>
      <c r="K99" s="1">
        <v>3.3210000000000002</v>
      </c>
      <c r="M99" s="2">
        <v>4.617</v>
      </c>
      <c r="P99" s="2">
        <v>4.5629999999999997</v>
      </c>
      <c r="Q99" s="2">
        <v>15</v>
      </c>
      <c r="R99" s="2">
        <f>41.06-14.29</f>
        <v>26.770000000000003</v>
      </c>
      <c r="T99" s="3">
        <v>5</v>
      </c>
    </row>
    <row r="100" spans="1:20" x14ac:dyDescent="0.25">
      <c r="A100" s="354"/>
      <c r="B100" s="354"/>
      <c r="C100" s="43" t="s">
        <v>24</v>
      </c>
      <c r="D100" s="8">
        <v>7</v>
      </c>
      <c r="G100" s="1" t="s">
        <v>110</v>
      </c>
      <c r="H100" s="8" t="s">
        <v>110</v>
      </c>
      <c r="I100" s="360"/>
      <c r="J100" s="41" t="s">
        <v>144</v>
      </c>
      <c r="K100" s="1">
        <v>1.1970000000000001</v>
      </c>
      <c r="M100" s="2">
        <v>3.4790000000000001</v>
      </c>
      <c r="P100" s="2">
        <v>1.4590000000000001</v>
      </c>
      <c r="Q100" s="2">
        <v>15</v>
      </c>
      <c r="R100" s="2">
        <f>38.03-14.3</f>
        <v>23.73</v>
      </c>
      <c r="T100" s="3">
        <v>5</v>
      </c>
    </row>
    <row r="101" spans="1:20" x14ac:dyDescent="0.25">
      <c r="A101" s="354"/>
      <c r="B101" s="354"/>
      <c r="C101" s="43" t="s">
        <v>24</v>
      </c>
      <c r="D101" s="8">
        <v>8</v>
      </c>
      <c r="G101" s="1" t="s">
        <v>110</v>
      </c>
      <c r="H101" s="8" t="s">
        <v>110</v>
      </c>
      <c r="I101" s="360"/>
      <c r="J101" s="41" t="s">
        <v>145</v>
      </c>
      <c r="K101" s="1">
        <v>3.31</v>
      </c>
      <c r="M101" s="2">
        <v>4.4930000000000003</v>
      </c>
      <c r="P101" s="2">
        <v>3.919</v>
      </c>
      <c r="Q101" s="2">
        <v>15</v>
      </c>
      <c r="R101" s="2">
        <f>40.28-14.33</f>
        <v>25.950000000000003</v>
      </c>
      <c r="T101" s="3">
        <v>5</v>
      </c>
    </row>
    <row r="102" spans="1:20" x14ac:dyDescent="0.25">
      <c r="A102" s="354"/>
      <c r="B102" s="354"/>
      <c r="C102" s="43" t="s">
        <v>24</v>
      </c>
      <c r="D102" s="8">
        <v>9</v>
      </c>
      <c r="G102" s="1" t="s">
        <v>110</v>
      </c>
      <c r="H102" s="8" t="s">
        <v>110</v>
      </c>
      <c r="I102" s="360"/>
      <c r="J102" s="41" t="s">
        <v>146</v>
      </c>
      <c r="K102" s="1">
        <v>3.585</v>
      </c>
      <c r="M102" s="2">
        <v>3.7890000000000001</v>
      </c>
      <c r="P102" s="2">
        <v>3.9209999999999998</v>
      </c>
      <c r="Q102" s="2">
        <v>15</v>
      </c>
      <c r="R102" s="2">
        <f>39.31-14.3</f>
        <v>25.01</v>
      </c>
      <c r="T102" s="3">
        <v>5</v>
      </c>
    </row>
    <row r="103" spans="1:20" x14ac:dyDescent="0.25">
      <c r="A103" s="354"/>
      <c r="B103" s="354"/>
      <c r="C103" s="43" t="s">
        <v>24</v>
      </c>
      <c r="D103" s="8">
        <v>10</v>
      </c>
      <c r="G103" s="1" t="s">
        <v>110</v>
      </c>
      <c r="H103" s="8" t="s">
        <v>110</v>
      </c>
      <c r="I103" s="360"/>
      <c r="J103" s="41" t="s">
        <v>147</v>
      </c>
      <c r="K103" s="1">
        <v>1.599</v>
      </c>
      <c r="M103" s="2">
        <v>4.1619999999999999</v>
      </c>
      <c r="P103" s="2">
        <v>1.9179999999999999</v>
      </c>
      <c r="Q103" s="2">
        <v>15</v>
      </c>
      <c r="R103" s="2">
        <f>40.33-14.3</f>
        <v>26.029999999999998</v>
      </c>
      <c r="T103" s="3">
        <v>5</v>
      </c>
    </row>
    <row r="104" spans="1:20" x14ac:dyDescent="0.25">
      <c r="A104" s="354"/>
      <c r="B104" s="354"/>
      <c r="C104" s="43" t="s">
        <v>24</v>
      </c>
      <c r="D104" s="8">
        <v>11</v>
      </c>
      <c r="G104" s="1" t="s">
        <v>110</v>
      </c>
      <c r="H104" s="8" t="s">
        <v>110</v>
      </c>
      <c r="I104" s="360"/>
      <c r="J104" s="41" t="s">
        <v>148</v>
      </c>
      <c r="K104" s="1">
        <v>3.1379999999999999</v>
      </c>
      <c r="M104" s="2">
        <v>3.64</v>
      </c>
      <c r="P104" s="2">
        <v>3.31</v>
      </c>
      <c r="Q104" s="2">
        <v>15</v>
      </c>
      <c r="R104" s="2">
        <f>37.83-14.32</f>
        <v>23.509999999999998</v>
      </c>
      <c r="T104" s="3">
        <v>5</v>
      </c>
    </row>
    <row r="105" spans="1:20" s="4" customFormat="1" x14ac:dyDescent="0.25">
      <c r="A105" s="354"/>
      <c r="B105" s="354"/>
      <c r="C105" s="43" t="s">
        <v>24</v>
      </c>
      <c r="D105" s="8">
        <v>12</v>
      </c>
      <c r="G105" s="4" t="s">
        <v>110</v>
      </c>
      <c r="H105" s="8" t="s">
        <v>110</v>
      </c>
      <c r="I105" s="360"/>
      <c r="J105" s="41" t="s">
        <v>149</v>
      </c>
      <c r="K105" s="4">
        <v>3.2509999999999999</v>
      </c>
      <c r="M105" s="6">
        <v>3.891</v>
      </c>
      <c r="N105" s="6"/>
      <c r="O105" s="6"/>
      <c r="P105" s="6">
        <v>3.7519999999999998</v>
      </c>
      <c r="Q105" s="6">
        <v>15</v>
      </c>
      <c r="R105" s="6">
        <f>40.93-14.28</f>
        <v>26.65</v>
      </c>
      <c r="S105" s="6"/>
      <c r="T105" s="7">
        <v>5</v>
      </c>
    </row>
    <row r="106" spans="1:20" x14ac:dyDescent="0.25">
      <c r="A106" s="354"/>
      <c r="B106" s="354"/>
      <c r="C106" s="43" t="s">
        <v>45</v>
      </c>
      <c r="D106" s="8">
        <v>1</v>
      </c>
      <c r="G106" s="1" t="s">
        <v>110</v>
      </c>
      <c r="H106" s="8" t="s">
        <v>110</v>
      </c>
      <c r="I106" s="359">
        <v>45234</v>
      </c>
      <c r="J106" s="41" t="s">
        <v>150</v>
      </c>
      <c r="K106" s="1">
        <v>1.8469500000000001</v>
      </c>
      <c r="M106" s="2">
        <v>3.524</v>
      </c>
      <c r="P106" s="2">
        <v>4.91</v>
      </c>
      <c r="Q106" s="2">
        <v>15</v>
      </c>
      <c r="R106" s="2">
        <f>60.52-14.45</f>
        <v>46.070000000000007</v>
      </c>
      <c r="T106" s="3">
        <v>5</v>
      </c>
    </row>
    <row r="107" spans="1:20" x14ac:dyDescent="0.25">
      <c r="A107" s="355"/>
      <c r="B107" s="355"/>
      <c r="C107" s="43" t="s">
        <v>45</v>
      </c>
      <c r="D107" s="8">
        <v>2</v>
      </c>
      <c r="G107" s="1" t="s">
        <v>110</v>
      </c>
      <c r="H107" s="8" t="s">
        <v>110</v>
      </c>
      <c r="I107" s="361"/>
      <c r="J107" s="41" t="s">
        <v>151</v>
      </c>
      <c r="K107" s="1">
        <v>1.4248000000000001</v>
      </c>
      <c r="M107" s="2">
        <v>3.222</v>
      </c>
      <c r="P107" s="2">
        <v>3.891</v>
      </c>
      <c r="Q107" s="2">
        <v>15</v>
      </c>
      <c r="R107" s="2">
        <f>61.98-14.4</f>
        <v>47.58</v>
      </c>
      <c r="T107" s="3">
        <v>5</v>
      </c>
    </row>
    <row r="108" spans="1:20" s="9" customFormat="1" x14ac:dyDescent="0.25">
      <c r="A108" s="341" t="s">
        <v>22</v>
      </c>
      <c r="B108" s="341" t="s">
        <v>152</v>
      </c>
      <c r="C108" s="45" t="s">
        <v>45</v>
      </c>
      <c r="D108" s="41" t="s">
        <v>153</v>
      </c>
      <c r="H108" s="41" t="s">
        <v>25</v>
      </c>
      <c r="I108" s="64">
        <v>45232</v>
      </c>
      <c r="J108" s="41" t="s">
        <v>154</v>
      </c>
      <c r="M108" s="12"/>
      <c r="N108" s="12"/>
      <c r="O108" s="12"/>
      <c r="P108" s="12">
        <v>3.6230000000000002</v>
      </c>
      <c r="Q108" s="12">
        <v>15</v>
      </c>
      <c r="R108" s="12">
        <f>54.8-14.27</f>
        <v>40.53</v>
      </c>
      <c r="S108" s="12"/>
      <c r="T108" s="14">
        <v>5</v>
      </c>
    </row>
    <row r="109" spans="1:20" x14ac:dyDescent="0.25">
      <c r="A109" s="342"/>
      <c r="B109" s="342"/>
      <c r="C109" s="43" t="s">
        <v>45</v>
      </c>
      <c r="D109" s="8" t="s">
        <v>155</v>
      </c>
      <c r="H109" s="8" t="s">
        <v>25</v>
      </c>
      <c r="J109" s="58" t="s">
        <v>156</v>
      </c>
      <c r="P109" s="2">
        <v>3.1840000000000002</v>
      </c>
      <c r="Q109" s="2">
        <v>15</v>
      </c>
      <c r="R109" s="2">
        <f>54.6-14.25</f>
        <v>40.35</v>
      </c>
      <c r="T109" s="3">
        <v>5</v>
      </c>
    </row>
    <row r="110" spans="1:20" x14ac:dyDescent="0.25">
      <c r="A110" s="342"/>
      <c r="B110" s="342"/>
      <c r="C110" s="43" t="s">
        <v>45</v>
      </c>
      <c r="D110" s="8" t="s">
        <v>157</v>
      </c>
      <c r="H110" s="8" t="s">
        <v>25</v>
      </c>
      <c r="J110" s="41" t="s">
        <v>158</v>
      </c>
      <c r="P110" s="2">
        <v>4.2590000000000003</v>
      </c>
      <c r="Q110" s="2">
        <v>15</v>
      </c>
      <c r="R110" s="2">
        <f>54.92-14.32</f>
        <v>40.6</v>
      </c>
      <c r="T110" s="3">
        <v>5</v>
      </c>
    </row>
    <row r="111" spans="1:20" s="4" customFormat="1" x14ac:dyDescent="0.25">
      <c r="A111" s="342"/>
      <c r="B111" s="342"/>
      <c r="C111" s="44" t="s">
        <v>45</v>
      </c>
      <c r="D111" s="42" t="s">
        <v>159</v>
      </c>
      <c r="H111" s="42" t="s">
        <v>25</v>
      </c>
      <c r="J111" s="58" t="s">
        <v>160</v>
      </c>
      <c r="M111" s="6" t="s">
        <v>161</v>
      </c>
      <c r="N111" s="6"/>
      <c r="O111" s="6"/>
      <c r="P111" s="6">
        <v>4.2210000000000001</v>
      </c>
      <c r="Q111" s="6">
        <v>15</v>
      </c>
      <c r="R111" s="6">
        <f>54.98-15.4</f>
        <v>39.58</v>
      </c>
      <c r="S111" s="6"/>
      <c r="T111" s="7">
        <v>5</v>
      </c>
    </row>
    <row r="112" spans="1:20" x14ac:dyDescent="0.25">
      <c r="A112" s="342"/>
      <c r="B112" s="342"/>
      <c r="C112" s="43" t="s">
        <v>45</v>
      </c>
      <c r="D112" s="8" t="s">
        <v>162</v>
      </c>
      <c r="H112" s="8" t="s">
        <v>25</v>
      </c>
      <c r="I112" s="344">
        <v>45235</v>
      </c>
      <c r="J112" s="41" t="s">
        <v>163</v>
      </c>
      <c r="P112" s="2">
        <v>5.069</v>
      </c>
      <c r="Q112" s="12">
        <v>15</v>
      </c>
      <c r="R112" s="2">
        <f>58.67-12.46</f>
        <v>46.21</v>
      </c>
      <c r="T112" s="3">
        <v>5</v>
      </c>
    </row>
    <row r="113" spans="1:22" x14ac:dyDescent="0.25">
      <c r="A113" s="342"/>
      <c r="B113" s="342"/>
      <c r="C113" s="43" t="s">
        <v>45</v>
      </c>
      <c r="D113" s="8" t="s">
        <v>164</v>
      </c>
      <c r="H113" s="8" t="s">
        <v>25</v>
      </c>
      <c r="I113" s="345"/>
      <c r="J113" s="41" t="s">
        <v>165</v>
      </c>
      <c r="P113" s="2">
        <v>4.258</v>
      </c>
      <c r="Q113" s="2">
        <v>15</v>
      </c>
      <c r="R113" s="2">
        <f>56.81-12.4</f>
        <v>44.410000000000004</v>
      </c>
      <c r="T113" s="3">
        <v>5</v>
      </c>
    </row>
    <row r="114" spans="1:22" s="9" customFormat="1" x14ac:dyDescent="0.25">
      <c r="A114" s="342"/>
      <c r="B114" s="342"/>
      <c r="C114" s="45" t="s">
        <v>45</v>
      </c>
      <c r="D114" s="41" t="s">
        <v>166</v>
      </c>
      <c r="H114" s="41" t="s">
        <v>25</v>
      </c>
      <c r="I114" s="344">
        <v>45237</v>
      </c>
      <c r="J114" s="41" t="s">
        <v>167</v>
      </c>
      <c r="M114" s="12"/>
      <c r="N114" s="12"/>
      <c r="O114" s="12"/>
      <c r="P114" s="12">
        <v>6.8440000000000003</v>
      </c>
      <c r="Q114" s="12">
        <v>15</v>
      </c>
      <c r="R114" s="12">
        <f>56.75-12.69</f>
        <v>44.06</v>
      </c>
      <c r="S114" s="12"/>
      <c r="T114" s="14">
        <v>5</v>
      </c>
    </row>
    <row r="115" spans="1:22" s="4" customFormat="1" x14ac:dyDescent="0.25">
      <c r="A115" s="343"/>
      <c r="B115" s="343"/>
      <c r="C115" s="44" t="s">
        <v>45</v>
      </c>
      <c r="D115" s="42" t="s">
        <v>168</v>
      </c>
      <c r="H115" s="42" t="s">
        <v>25</v>
      </c>
      <c r="I115" s="346"/>
      <c r="J115" s="58" t="s">
        <v>169</v>
      </c>
      <c r="M115" s="6"/>
      <c r="N115" s="6"/>
      <c r="O115" s="6"/>
      <c r="P115" s="6">
        <v>7.8419999999999996</v>
      </c>
      <c r="Q115" s="6">
        <v>15</v>
      </c>
      <c r="R115" s="6">
        <f>57.4-12.4</f>
        <v>45</v>
      </c>
      <c r="S115" s="6"/>
      <c r="T115" s="7">
        <v>5</v>
      </c>
    </row>
    <row r="116" spans="1:22" x14ac:dyDescent="0.25">
      <c r="A116" s="353" t="s">
        <v>170</v>
      </c>
      <c r="B116" s="353" t="s">
        <v>171</v>
      </c>
      <c r="C116" s="43" t="s">
        <v>24</v>
      </c>
      <c r="D116" s="8">
        <v>1</v>
      </c>
      <c r="G116" s="1" t="s">
        <v>172</v>
      </c>
      <c r="H116" s="8" t="s">
        <v>173</v>
      </c>
      <c r="I116" s="367">
        <v>45241</v>
      </c>
      <c r="J116" s="8" t="s">
        <v>174</v>
      </c>
      <c r="P116" s="2">
        <v>3</v>
      </c>
      <c r="Q116" s="2">
        <v>15</v>
      </c>
      <c r="R116" s="2">
        <v>30</v>
      </c>
      <c r="T116" s="3">
        <v>5</v>
      </c>
      <c r="V116" s="1" t="s">
        <v>175</v>
      </c>
    </row>
    <row r="117" spans="1:22" x14ac:dyDescent="0.25">
      <c r="A117" s="355"/>
      <c r="B117" s="355"/>
      <c r="C117" s="43" t="s">
        <v>24</v>
      </c>
      <c r="D117" s="8">
        <v>2</v>
      </c>
      <c r="G117" s="1" t="s">
        <v>172</v>
      </c>
      <c r="H117" s="8" t="s">
        <v>173</v>
      </c>
      <c r="I117" s="369"/>
      <c r="J117" s="41" t="s">
        <v>176</v>
      </c>
      <c r="P117" s="2">
        <v>3</v>
      </c>
      <c r="Q117" s="2">
        <v>15</v>
      </c>
      <c r="R117" s="2">
        <v>30</v>
      </c>
      <c r="T117" s="3">
        <v>5</v>
      </c>
      <c r="V117" s="1" t="s">
        <v>175</v>
      </c>
    </row>
    <row r="118" spans="1:22" s="9" customFormat="1" x14ac:dyDescent="0.25">
      <c r="A118" s="341" t="s">
        <v>100</v>
      </c>
      <c r="B118" s="341" t="s">
        <v>177</v>
      </c>
      <c r="C118" s="45" t="s">
        <v>24</v>
      </c>
      <c r="D118" s="41">
        <v>1</v>
      </c>
      <c r="G118" s="9" t="s">
        <v>178</v>
      </c>
      <c r="H118" s="41" t="s">
        <v>110</v>
      </c>
      <c r="I118" s="344">
        <v>45244</v>
      </c>
      <c r="J118" s="41" t="s">
        <v>179</v>
      </c>
      <c r="M118" s="12">
        <v>0.56999999999999995</v>
      </c>
      <c r="N118" s="12"/>
      <c r="O118" s="12"/>
      <c r="P118" s="12">
        <v>1.038</v>
      </c>
      <c r="Q118" s="12">
        <v>15</v>
      </c>
      <c r="R118" s="12">
        <f>40.38-14.41</f>
        <v>25.970000000000002</v>
      </c>
      <c r="S118" s="12"/>
      <c r="T118" s="14">
        <v>5</v>
      </c>
    </row>
    <row r="119" spans="1:22" x14ac:dyDescent="0.25">
      <c r="A119" s="342"/>
      <c r="B119" s="342"/>
      <c r="C119" s="43" t="s">
        <v>24</v>
      </c>
      <c r="D119" s="8">
        <v>2</v>
      </c>
      <c r="G119" s="1" t="s">
        <v>178</v>
      </c>
      <c r="H119" s="8" t="s">
        <v>110</v>
      </c>
      <c r="I119" s="370"/>
      <c r="J119" s="58" t="s">
        <v>180</v>
      </c>
      <c r="M119" s="2">
        <v>1.32</v>
      </c>
      <c r="P119" s="2">
        <v>1.8160000000000001</v>
      </c>
      <c r="Q119" s="2">
        <v>15</v>
      </c>
      <c r="R119" s="2">
        <f>36.52-14.43</f>
        <v>22.090000000000003</v>
      </c>
      <c r="T119" s="3">
        <v>5</v>
      </c>
    </row>
    <row r="120" spans="1:22" s="4" customFormat="1" x14ac:dyDescent="0.25">
      <c r="A120" s="342"/>
      <c r="B120" s="342"/>
      <c r="C120" s="44" t="s">
        <v>24</v>
      </c>
      <c r="D120" s="42">
        <v>3</v>
      </c>
      <c r="G120" s="4" t="s">
        <v>178</v>
      </c>
      <c r="H120" s="42" t="s">
        <v>110</v>
      </c>
      <c r="I120" s="371"/>
      <c r="J120" s="58" t="s">
        <v>181</v>
      </c>
      <c r="M120" s="6">
        <v>1.84</v>
      </c>
      <c r="N120" s="6"/>
      <c r="O120" s="6"/>
      <c r="P120" s="6">
        <v>2.3039999999999998</v>
      </c>
      <c r="Q120" s="6">
        <v>15</v>
      </c>
      <c r="R120" s="6">
        <f>38.16-14.18</f>
        <v>23.979999999999997</v>
      </c>
      <c r="S120" s="6"/>
      <c r="T120" s="7">
        <v>5</v>
      </c>
    </row>
    <row r="121" spans="1:22" x14ac:dyDescent="0.25">
      <c r="A121" s="342"/>
      <c r="B121" s="342"/>
      <c r="C121" s="43" t="s">
        <v>24</v>
      </c>
      <c r="D121" s="8">
        <v>4</v>
      </c>
      <c r="G121" s="1" t="s">
        <v>178</v>
      </c>
      <c r="H121" s="8" t="s">
        <v>110</v>
      </c>
      <c r="I121" s="67">
        <v>45240</v>
      </c>
      <c r="J121" s="8" t="s">
        <v>182</v>
      </c>
      <c r="M121" s="2">
        <v>1.92</v>
      </c>
      <c r="P121" s="2">
        <v>2.4529999999999998</v>
      </c>
      <c r="Q121" s="2">
        <v>15</v>
      </c>
      <c r="R121" s="2">
        <f>38.03-14.4</f>
        <v>23.630000000000003</v>
      </c>
      <c r="T121" s="3">
        <v>5</v>
      </c>
    </row>
    <row r="122" spans="1:22" s="57" customFormat="1" x14ac:dyDescent="0.25">
      <c r="A122" s="342"/>
      <c r="B122" s="342"/>
      <c r="C122" s="61" t="s">
        <v>24</v>
      </c>
      <c r="D122" s="58">
        <v>5</v>
      </c>
      <c r="G122" s="57" t="s">
        <v>178</v>
      </c>
      <c r="H122" s="58" t="s">
        <v>110</v>
      </c>
      <c r="I122" s="69">
        <v>45242</v>
      </c>
      <c r="J122" s="58" t="s">
        <v>183</v>
      </c>
      <c r="M122" s="59">
        <v>2.4300000000000002</v>
      </c>
      <c r="N122" s="59"/>
      <c r="O122" s="59"/>
      <c r="P122" s="59">
        <v>2.9350000000000001</v>
      </c>
      <c r="Q122" s="59">
        <v>15</v>
      </c>
      <c r="R122" s="59">
        <f>36.25-14.3</f>
        <v>21.95</v>
      </c>
      <c r="S122" s="59"/>
      <c r="T122" s="60">
        <v>5</v>
      </c>
    </row>
    <row r="123" spans="1:22" x14ac:dyDescent="0.25">
      <c r="A123" s="342"/>
      <c r="B123" s="342"/>
      <c r="C123" s="43" t="s">
        <v>24</v>
      </c>
      <c r="D123" s="8">
        <v>6</v>
      </c>
      <c r="G123" s="1" t="s">
        <v>178</v>
      </c>
      <c r="H123" s="8" t="s">
        <v>110</v>
      </c>
      <c r="I123" s="67">
        <v>45244</v>
      </c>
      <c r="J123" s="8" t="s">
        <v>184</v>
      </c>
      <c r="M123" s="2">
        <v>2.31</v>
      </c>
      <c r="P123" s="2">
        <v>2.8620000000000001</v>
      </c>
      <c r="Q123" s="2">
        <v>15</v>
      </c>
      <c r="R123" s="2">
        <f>37.96-14.37</f>
        <v>23.590000000000003</v>
      </c>
      <c r="T123" s="3">
        <v>5</v>
      </c>
    </row>
    <row r="124" spans="1:22" s="57" customFormat="1" x14ac:dyDescent="0.25">
      <c r="A124" s="342"/>
      <c r="B124" s="342"/>
      <c r="C124" s="61" t="s">
        <v>24</v>
      </c>
      <c r="D124" s="58">
        <v>7</v>
      </c>
      <c r="G124" s="57" t="s">
        <v>178</v>
      </c>
      <c r="H124" s="58" t="s">
        <v>110</v>
      </c>
      <c r="I124" s="69">
        <v>45240</v>
      </c>
      <c r="J124" s="58" t="s">
        <v>185</v>
      </c>
      <c r="M124" s="59">
        <v>1.03</v>
      </c>
      <c r="N124" s="59"/>
      <c r="O124" s="59"/>
      <c r="P124" s="59">
        <v>1.78</v>
      </c>
      <c r="Q124" s="59">
        <v>15</v>
      </c>
      <c r="R124" s="59">
        <f>39-14.37</f>
        <v>24.630000000000003</v>
      </c>
      <c r="S124" s="59"/>
      <c r="T124" s="60">
        <v>5</v>
      </c>
    </row>
    <row r="125" spans="1:22" s="4" customFormat="1" x14ac:dyDescent="0.25">
      <c r="A125" s="343"/>
      <c r="B125" s="343"/>
      <c r="C125" s="44" t="s">
        <v>24</v>
      </c>
      <c r="D125" s="42">
        <v>8</v>
      </c>
      <c r="G125" s="4" t="s">
        <v>178</v>
      </c>
      <c r="H125" s="42" t="s">
        <v>110</v>
      </c>
      <c r="I125" s="68">
        <v>45242</v>
      </c>
      <c r="J125" s="42" t="s">
        <v>186</v>
      </c>
      <c r="M125" s="6">
        <v>1.42</v>
      </c>
      <c r="N125" s="6"/>
      <c r="O125" s="6"/>
      <c r="P125" s="6">
        <v>1.72</v>
      </c>
      <c r="Q125" s="6">
        <v>15</v>
      </c>
      <c r="R125" s="6">
        <f>37.92-14.19</f>
        <v>23.730000000000004</v>
      </c>
      <c r="S125" s="6"/>
      <c r="T125" s="7">
        <v>5</v>
      </c>
    </row>
    <row r="126" spans="1:22" x14ac:dyDescent="0.25">
      <c r="A126" s="341" t="s">
        <v>100</v>
      </c>
      <c r="B126" s="341" t="s">
        <v>187</v>
      </c>
      <c r="C126" s="43" t="s">
        <v>24</v>
      </c>
      <c r="D126" s="8">
        <v>1</v>
      </c>
      <c r="G126" s="1" t="s">
        <v>188</v>
      </c>
      <c r="H126" s="8" t="s">
        <v>119</v>
      </c>
      <c r="I126" s="372">
        <v>45250</v>
      </c>
      <c r="J126" s="8" t="s">
        <v>189</v>
      </c>
      <c r="K126" s="1">
        <v>1.351</v>
      </c>
      <c r="M126" s="2">
        <v>3.58</v>
      </c>
      <c r="P126" s="2">
        <v>3.3039999999999998</v>
      </c>
      <c r="Q126" s="2">
        <v>15</v>
      </c>
      <c r="R126" s="2">
        <f>58.62-14.47</f>
        <v>44.15</v>
      </c>
      <c r="T126" s="3">
        <v>5</v>
      </c>
    </row>
    <row r="127" spans="1:22" x14ac:dyDescent="0.25">
      <c r="A127" s="342"/>
      <c r="B127" s="342"/>
      <c r="C127" s="43" t="s">
        <v>24</v>
      </c>
      <c r="D127" s="8">
        <v>2</v>
      </c>
      <c r="G127" s="1" t="s">
        <v>188</v>
      </c>
      <c r="H127" s="8" t="s">
        <v>119</v>
      </c>
      <c r="I127" s="373"/>
      <c r="J127" s="58" t="s">
        <v>190</v>
      </c>
      <c r="K127" s="1">
        <v>0.76600000000000001</v>
      </c>
      <c r="M127" s="2">
        <v>1.67</v>
      </c>
      <c r="P127" s="2">
        <v>1.7969999999999999</v>
      </c>
      <c r="Q127" s="2">
        <v>15</v>
      </c>
      <c r="R127" s="2">
        <f>55.45-14.3</f>
        <v>41.150000000000006</v>
      </c>
      <c r="T127" s="3">
        <v>5</v>
      </c>
    </row>
    <row r="128" spans="1:22" x14ac:dyDescent="0.25">
      <c r="A128" s="342"/>
      <c r="B128" s="342"/>
      <c r="C128" s="43" t="s">
        <v>24</v>
      </c>
      <c r="D128" s="8">
        <v>3</v>
      </c>
      <c r="G128" s="1" t="s">
        <v>188</v>
      </c>
      <c r="H128" s="8" t="s">
        <v>119</v>
      </c>
      <c r="I128" s="373"/>
      <c r="J128" s="41" t="s">
        <v>191</v>
      </c>
      <c r="K128" s="1">
        <v>0.85699999999999998</v>
      </c>
      <c r="M128" s="2">
        <v>1.69</v>
      </c>
      <c r="P128" s="2">
        <v>1.8819999999999999</v>
      </c>
      <c r="Q128" s="2">
        <v>15</v>
      </c>
      <c r="R128" s="2">
        <f>56.95-14.47</f>
        <v>42.480000000000004</v>
      </c>
      <c r="T128" s="3">
        <v>5</v>
      </c>
    </row>
    <row r="129" spans="1:20" x14ac:dyDescent="0.25">
      <c r="A129" s="342"/>
      <c r="B129" s="342"/>
      <c r="C129" s="43" t="s">
        <v>24</v>
      </c>
      <c r="D129" s="8">
        <v>4</v>
      </c>
      <c r="G129" s="1" t="s">
        <v>188</v>
      </c>
      <c r="H129" s="8" t="s">
        <v>119</v>
      </c>
      <c r="I129" s="373"/>
      <c r="J129" s="58" t="s">
        <v>192</v>
      </c>
      <c r="K129" s="1">
        <v>1.4510000000000001</v>
      </c>
      <c r="M129" s="2">
        <v>4.43</v>
      </c>
      <c r="P129" s="2">
        <v>3.6789999999999998</v>
      </c>
      <c r="Q129" s="2">
        <v>15</v>
      </c>
      <c r="R129" s="2">
        <f>58.89-14.25</f>
        <v>44.64</v>
      </c>
      <c r="T129" s="3">
        <v>5</v>
      </c>
    </row>
    <row r="130" spans="1:20" x14ac:dyDescent="0.25">
      <c r="A130" s="342"/>
      <c r="B130" s="342"/>
      <c r="C130" s="43" t="s">
        <v>24</v>
      </c>
      <c r="D130" s="8">
        <v>5</v>
      </c>
      <c r="G130" s="1" t="s">
        <v>188</v>
      </c>
      <c r="H130" s="8" t="s">
        <v>119</v>
      </c>
      <c r="I130" s="373"/>
      <c r="J130" s="58" t="s">
        <v>193</v>
      </c>
      <c r="K130" s="1">
        <v>0.96499999999999997</v>
      </c>
      <c r="M130" s="2">
        <v>2.1970000000000001</v>
      </c>
      <c r="P130" s="2">
        <v>2.0139999999999998</v>
      </c>
      <c r="Q130" s="2">
        <v>15</v>
      </c>
      <c r="R130" s="2">
        <f>52.68-14.4</f>
        <v>38.28</v>
      </c>
      <c r="T130" s="3">
        <v>5</v>
      </c>
    </row>
    <row r="131" spans="1:20" x14ac:dyDescent="0.25">
      <c r="A131" s="342"/>
      <c r="B131" s="342"/>
      <c r="C131" s="43" t="s">
        <v>24</v>
      </c>
      <c r="D131" s="8">
        <v>6</v>
      </c>
      <c r="G131" s="1" t="s">
        <v>188</v>
      </c>
      <c r="H131" s="8" t="s">
        <v>119</v>
      </c>
      <c r="I131" s="373"/>
      <c r="J131" s="41" t="s">
        <v>194</v>
      </c>
      <c r="K131" s="1">
        <v>0.60199999999999998</v>
      </c>
      <c r="M131" s="2">
        <v>1.4510000000000001</v>
      </c>
      <c r="P131" s="2">
        <v>1.5009999999999999</v>
      </c>
      <c r="Q131" s="2">
        <v>15</v>
      </c>
      <c r="R131" s="2">
        <f>55.76-14.36</f>
        <v>41.4</v>
      </c>
      <c r="T131" s="3">
        <v>5</v>
      </c>
    </row>
    <row r="132" spans="1:20" x14ac:dyDescent="0.25">
      <c r="A132" s="342"/>
      <c r="B132" s="342"/>
      <c r="C132" s="43" t="s">
        <v>24</v>
      </c>
      <c r="D132" s="8">
        <v>7</v>
      </c>
      <c r="G132" s="1" t="s">
        <v>195</v>
      </c>
      <c r="H132" s="8" t="s">
        <v>131</v>
      </c>
      <c r="I132" s="373"/>
      <c r="J132" s="58" t="s">
        <v>196</v>
      </c>
      <c r="K132" s="1">
        <v>1.478</v>
      </c>
      <c r="M132" s="2">
        <v>4.7240000000000002</v>
      </c>
      <c r="P132" s="2">
        <v>3.677</v>
      </c>
      <c r="Q132" s="2">
        <v>15</v>
      </c>
      <c r="R132" s="2">
        <f>59.07-14.3</f>
        <v>44.769999999999996</v>
      </c>
      <c r="T132" s="3">
        <v>5</v>
      </c>
    </row>
    <row r="133" spans="1:20" x14ac:dyDescent="0.25">
      <c r="A133" s="342"/>
      <c r="B133" s="342"/>
      <c r="C133" s="43" t="s">
        <v>24</v>
      </c>
      <c r="D133" s="8">
        <v>8</v>
      </c>
      <c r="G133" s="1" t="s">
        <v>195</v>
      </c>
      <c r="H133" s="8" t="s">
        <v>131</v>
      </c>
      <c r="I133" s="373"/>
      <c r="J133" s="41" t="s">
        <v>197</v>
      </c>
      <c r="K133" s="1">
        <v>1.286</v>
      </c>
      <c r="M133" s="2">
        <v>3.25</v>
      </c>
      <c r="P133" s="2">
        <v>2.9020000000000001</v>
      </c>
      <c r="Q133" s="2">
        <v>15</v>
      </c>
      <c r="R133" s="2">
        <f>53.15-14.46</f>
        <v>38.69</v>
      </c>
      <c r="T133" s="3">
        <v>5</v>
      </c>
    </row>
    <row r="134" spans="1:20" x14ac:dyDescent="0.25">
      <c r="A134" s="342"/>
      <c r="B134" s="342"/>
      <c r="C134" s="43" t="s">
        <v>24</v>
      </c>
      <c r="D134" s="8">
        <v>9</v>
      </c>
      <c r="G134" s="1" t="s">
        <v>195</v>
      </c>
      <c r="H134" s="8" t="s">
        <v>131</v>
      </c>
      <c r="I134" s="373"/>
      <c r="J134" s="41" t="s">
        <v>198</v>
      </c>
      <c r="K134" s="1">
        <v>1.171</v>
      </c>
      <c r="M134" s="2">
        <v>3.97</v>
      </c>
      <c r="P134" s="2">
        <v>3.3809999999999998</v>
      </c>
      <c r="Q134" s="2">
        <v>15</v>
      </c>
      <c r="R134" s="2">
        <f>60.8-14.29</f>
        <v>46.51</v>
      </c>
      <c r="T134" s="3">
        <v>5</v>
      </c>
    </row>
    <row r="135" spans="1:20" x14ac:dyDescent="0.25">
      <c r="A135" s="342"/>
      <c r="B135" s="342"/>
      <c r="C135" s="43" t="s">
        <v>24</v>
      </c>
      <c r="D135" s="8">
        <v>10</v>
      </c>
      <c r="G135" s="1" t="s">
        <v>195</v>
      </c>
      <c r="H135" s="8" t="s">
        <v>131</v>
      </c>
      <c r="I135" s="373"/>
      <c r="J135" s="58" t="s">
        <v>199</v>
      </c>
      <c r="K135" s="1">
        <v>1.577</v>
      </c>
      <c r="M135" s="2">
        <v>4.55</v>
      </c>
      <c r="P135" s="2">
        <v>1.992</v>
      </c>
      <c r="Q135" s="2">
        <v>15</v>
      </c>
      <c r="R135" s="2">
        <f>57.41-14.23</f>
        <v>43.179999999999993</v>
      </c>
      <c r="T135" s="3">
        <v>5</v>
      </c>
    </row>
    <row r="136" spans="1:20" x14ac:dyDescent="0.25">
      <c r="A136" s="342"/>
      <c r="B136" s="342"/>
      <c r="C136" s="43" t="s">
        <v>24</v>
      </c>
      <c r="D136" s="8">
        <v>11</v>
      </c>
      <c r="G136" s="1" t="s">
        <v>195</v>
      </c>
      <c r="H136" s="8" t="s">
        <v>131</v>
      </c>
      <c r="I136" s="373"/>
      <c r="J136" s="41" t="s">
        <v>200</v>
      </c>
      <c r="K136" s="1">
        <v>1.397</v>
      </c>
      <c r="M136" s="2">
        <v>4.46</v>
      </c>
      <c r="P136" s="2">
        <v>3.8759999999999999</v>
      </c>
      <c r="Q136" s="2">
        <v>15</v>
      </c>
      <c r="R136" s="2">
        <f>58.14-14.5</f>
        <v>43.64</v>
      </c>
      <c r="T136" s="3">
        <v>5</v>
      </c>
    </row>
    <row r="137" spans="1:20" x14ac:dyDescent="0.25">
      <c r="A137" s="342"/>
      <c r="B137" s="342"/>
      <c r="C137" s="43" t="s">
        <v>24</v>
      </c>
      <c r="D137" s="8">
        <v>12</v>
      </c>
      <c r="G137" s="1" t="s">
        <v>195</v>
      </c>
      <c r="H137" s="8" t="s">
        <v>131</v>
      </c>
      <c r="I137" s="373"/>
      <c r="J137" s="41" t="s">
        <v>201</v>
      </c>
      <c r="K137" s="1">
        <v>1.0509999999999999</v>
      </c>
      <c r="M137" s="2">
        <v>3.09</v>
      </c>
      <c r="P137" s="2">
        <v>1.64</v>
      </c>
      <c r="Q137" s="2">
        <v>15</v>
      </c>
      <c r="R137" s="2">
        <f>55.6-14.29</f>
        <v>41.31</v>
      </c>
      <c r="T137" s="3">
        <v>5</v>
      </c>
    </row>
    <row r="138" spans="1:20" x14ac:dyDescent="0.25">
      <c r="A138" s="342"/>
      <c r="B138" s="342"/>
      <c r="C138" s="43" t="s">
        <v>24</v>
      </c>
      <c r="D138" s="8">
        <v>13</v>
      </c>
      <c r="G138" s="1" t="s">
        <v>202</v>
      </c>
      <c r="H138" s="8" t="s">
        <v>203</v>
      </c>
      <c r="I138" s="373"/>
      <c r="J138" s="58" t="s">
        <v>204</v>
      </c>
      <c r="K138" s="1">
        <v>1.157</v>
      </c>
      <c r="M138" s="2">
        <v>4</v>
      </c>
      <c r="P138" s="2">
        <v>3.363</v>
      </c>
      <c r="Q138" s="2">
        <v>15</v>
      </c>
      <c r="R138" s="2">
        <f>60.18-14.34</f>
        <v>45.84</v>
      </c>
      <c r="T138" s="3">
        <v>5</v>
      </c>
    </row>
    <row r="139" spans="1:20" x14ac:dyDescent="0.25">
      <c r="A139" s="342"/>
      <c r="B139" s="342"/>
      <c r="C139" s="43" t="s">
        <v>24</v>
      </c>
      <c r="D139" s="8">
        <v>14</v>
      </c>
      <c r="G139" s="1" t="s">
        <v>202</v>
      </c>
      <c r="H139" s="8" t="s">
        <v>203</v>
      </c>
      <c r="I139" s="373"/>
      <c r="J139" s="41" t="s">
        <v>205</v>
      </c>
      <c r="K139" s="1">
        <v>0.70899999999999996</v>
      </c>
      <c r="M139" s="2">
        <v>2.0699999999999998</v>
      </c>
      <c r="P139" s="2">
        <v>1.91</v>
      </c>
      <c r="Q139" s="2">
        <v>15</v>
      </c>
      <c r="R139" s="2">
        <f>54.55-14.34</f>
        <v>40.209999999999994</v>
      </c>
      <c r="T139" s="3">
        <v>5</v>
      </c>
    </row>
    <row r="140" spans="1:20" x14ac:dyDescent="0.25">
      <c r="A140" s="342"/>
      <c r="B140" s="342"/>
      <c r="C140" s="43" t="s">
        <v>24</v>
      </c>
      <c r="D140" s="8">
        <v>15</v>
      </c>
      <c r="G140" s="1" t="s">
        <v>202</v>
      </c>
      <c r="H140" s="8" t="s">
        <v>203</v>
      </c>
      <c r="I140" s="373"/>
      <c r="J140" s="41" t="s">
        <v>206</v>
      </c>
      <c r="K140" s="1">
        <v>0.8</v>
      </c>
      <c r="M140" s="2">
        <v>2.3199999999999998</v>
      </c>
      <c r="P140" s="2">
        <v>2.109</v>
      </c>
      <c r="Q140" s="2">
        <v>15</v>
      </c>
      <c r="R140" s="2">
        <f>55.07-14.36</f>
        <v>40.71</v>
      </c>
      <c r="T140" s="3">
        <v>5</v>
      </c>
    </row>
    <row r="141" spans="1:20" x14ac:dyDescent="0.25">
      <c r="A141" s="342"/>
      <c r="B141" s="342"/>
      <c r="C141" s="43" t="s">
        <v>24</v>
      </c>
      <c r="D141" s="8">
        <v>16</v>
      </c>
      <c r="G141" s="1" t="s">
        <v>202</v>
      </c>
      <c r="H141" s="8" t="s">
        <v>203</v>
      </c>
      <c r="I141" s="373"/>
      <c r="J141" s="58" t="s">
        <v>207</v>
      </c>
      <c r="K141" s="1">
        <v>1.2110000000000001</v>
      </c>
      <c r="M141" s="2">
        <v>4.3</v>
      </c>
      <c r="P141" s="2">
        <v>3.5510000000000002</v>
      </c>
      <c r="Q141" s="2">
        <v>15</v>
      </c>
      <c r="R141" s="2">
        <f>59.51-14.47</f>
        <v>45.04</v>
      </c>
      <c r="T141" s="3">
        <v>5</v>
      </c>
    </row>
    <row r="142" spans="1:20" x14ac:dyDescent="0.25">
      <c r="A142" s="342"/>
      <c r="B142" s="342"/>
      <c r="C142" s="43" t="s">
        <v>24</v>
      </c>
      <c r="D142" s="8">
        <v>17</v>
      </c>
      <c r="G142" s="1" t="s">
        <v>202</v>
      </c>
      <c r="H142" s="8" t="s">
        <v>203</v>
      </c>
      <c r="I142" s="373"/>
      <c r="J142" s="41" t="s">
        <v>208</v>
      </c>
      <c r="K142" s="1">
        <v>0.94399999999999995</v>
      </c>
      <c r="M142" s="2">
        <v>2.6880000000000002</v>
      </c>
      <c r="P142" s="2">
        <v>2.3410000000000002</v>
      </c>
      <c r="Q142" s="2">
        <v>15</v>
      </c>
      <c r="R142" s="2">
        <f>56.44-14.47</f>
        <v>41.97</v>
      </c>
      <c r="T142" s="3">
        <v>5</v>
      </c>
    </row>
    <row r="143" spans="1:20" x14ac:dyDescent="0.25">
      <c r="A143" s="342"/>
      <c r="B143" s="342"/>
      <c r="C143" s="43" t="s">
        <v>24</v>
      </c>
      <c r="D143" s="8">
        <v>18</v>
      </c>
      <c r="G143" s="1" t="s">
        <v>202</v>
      </c>
      <c r="H143" s="8" t="s">
        <v>203</v>
      </c>
      <c r="I143" s="373"/>
      <c r="J143" s="41" t="s">
        <v>209</v>
      </c>
      <c r="K143" s="1">
        <v>0.71899999999999997</v>
      </c>
      <c r="M143" s="2">
        <v>2.11</v>
      </c>
      <c r="P143" s="2">
        <v>1.7669999999999999</v>
      </c>
      <c r="Q143" s="2">
        <v>15</v>
      </c>
      <c r="R143" s="2">
        <f>56.43-14.35</f>
        <v>42.08</v>
      </c>
      <c r="T143" s="3">
        <v>5</v>
      </c>
    </row>
    <row r="144" spans="1:20" s="9" customFormat="1" x14ac:dyDescent="0.25">
      <c r="A144" s="341" t="s">
        <v>100</v>
      </c>
      <c r="B144" s="374" t="s">
        <v>210</v>
      </c>
      <c r="C144" s="9" t="s">
        <v>45</v>
      </c>
      <c r="D144" s="41">
        <v>1</v>
      </c>
      <c r="G144" s="9" t="s">
        <v>188</v>
      </c>
      <c r="H144" s="45" t="s">
        <v>119</v>
      </c>
      <c r="I144" s="347">
        <v>45257</v>
      </c>
      <c r="J144" s="15" t="s">
        <v>211</v>
      </c>
      <c r="K144" s="9">
        <v>1.1890000000000001</v>
      </c>
      <c r="M144" s="12">
        <v>0.86</v>
      </c>
      <c r="N144" s="12"/>
      <c r="O144" s="12"/>
      <c r="P144" s="12">
        <v>2.944</v>
      </c>
      <c r="Q144" s="12">
        <v>15</v>
      </c>
      <c r="R144" s="12">
        <f>57.61-14.25</f>
        <v>43.36</v>
      </c>
      <c r="S144" s="12"/>
      <c r="T144" s="14">
        <v>5</v>
      </c>
    </row>
    <row r="145" spans="1:22" x14ac:dyDescent="0.25">
      <c r="A145" s="343"/>
      <c r="B145" s="346"/>
      <c r="C145" s="1" t="s">
        <v>45</v>
      </c>
      <c r="D145" s="8">
        <v>3</v>
      </c>
      <c r="G145" s="1" t="s">
        <v>202</v>
      </c>
      <c r="H145" s="43" t="s">
        <v>203</v>
      </c>
      <c r="I145" s="342"/>
      <c r="J145" s="15" t="s">
        <v>212</v>
      </c>
      <c r="K145" s="1">
        <v>1.2629999999999999</v>
      </c>
      <c r="M145" s="2">
        <v>0.84</v>
      </c>
      <c r="P145" s="2">
        <v>2.5499999999999998</v>
      </c>
      <c r="Q145" s="2">
        <v>15</v>
      </c>
      <c r="R145" s="2">
        <f>53.42-14.28</f>
        <v>39.14</v>
      </c>
      <c r="T145" s="3">
        <v>5</v>
      </c>
      <c r="V145" s="4"/>
    </row>
    <row r="146" spans="1:22" s="9" customFormat="1" x14ac:dyDescent="0.25">
      <c r="A146" s="341" t="s">
        <v>213</v>
      </c>
      <c r="B146" s="341" t="s">
        <v>214</v>
      </c>
      <c r="C146" s="45" t="s">
        <v>24</v>
      </c>
      <c r="D146" s="41">
        <v>1</v>
      </c>
      <c r="G146" s="9">
        <v>878</v>
      </c>
      <c r="H146" s="45" t="s">
        <v>215</v>
      </c>
      <c r="I146" s="347">
        <v>45278</v>
      </c>
      <c r="J146" s="15" t="s">
        <v>216</v>
      </c>
      <c r="K146" s="9">
        <v>0.82099999999999995</v>
      </c>
      <c r="M146" s="12"/>
      <c r="N146" s="12"/>
      <c r="O146" s="12"/>
      <c r="P146" s="12">
        <v>1.5569999999999999</v>
      </c>
      <c r="Q146" s="12">
        <v>15</v>
      </c>
      <c r="R146" s="12">
        <v>32.5</v>
      </c>
      <c r="S146" s="12"/>
      <c r="T146" s="14">
        <v>5</v>
      </c>
      <c r="V146" s="72" t="s">
        <v>217</v>
      </c>
    </row>
    <row r="147" spans="1:22" x14ac:dyDescent="0.25">
      <c r="A147" s="342"/>
      <c r="B147" s="342"/>
      <c r="C147" s="43" t="s">
        <v>24</v>
      </c>
      <c r="D147" s="8">
        <v>2</v>
      </c>
      <c r="G147" s="1">
        <v>875</v>
      </c>
      <c r="H147" s="43" t="s">
        <v>218</v>
      </c>
      <c r="I147" s="348"/>
      <c r="J147" s="15" t="s">
        <v>219</v>
      </c>
      <c r="K147" s="1">
        <v>0.76600000000000001</v>
      </c>
      <c r="P147" s="2">
        <v>1.7529999999999999</v>
      </c>
      <c r="Q147" s="2">
        <v>15</v>
      </c>
      <c r="R147" s="2">
        <v>34.5</v>
      </c>
      <c r="T147" s="3">
        <v>5</v>
      </c>
      <c r="V147" s="72" t="s">
        <v>220</v>
      </c>
    </row>
    <row r="148" spans="1:22" x14ac:dyDescent="0.25">
      <c r="A148" s="342"/>
      <c r="B148" s="342"/>
      <c r="C148" s="43" t="s">
        <v>24</v>
      </c>
      <c r="D148" s="8">
        <v>3</v>
      </c>
      <c r="G148" s="1">
        <v>872</v>
      </c>
      <c r="H148" s="43" t="s">
        <v>221</v>
      </c>
      <c r="I148" s="349"/>
      <c r="J148" s="15" t="s">
        <v>222</v>
      </c>
      <c r="K148" s="1">
        <v>0.76300000000000001</v>
      </c>
      <c r="P148" s="2">
        <v>1.6040000000000001</v>
      </c>
      <c r="Q148" s="2">
        <v>15</v>
      </c>
      <c r="R148" s="2">
        <v>38</v>
      </c>
      <c r="T148" s="3">
        <v>5</v>
      </c>
      <c r="V148" s="72" t="s">
        <v>217</v>
      </c>
    </row>
    <row r="149" spans="1:22" x14ac:dyDescent="0.25">
      <c r="A149" s="342"/>
      <c r="B149" s="342"/>
      <c r="C149" s="43" t="s">
        <v>24</v>
      </c>
      <c r="D149" s="8">
        <v>4</v>
      </c>
      <c r="G149" s="1">
        <v>871</v>
      </c>
      <c r="H149" s="8" t="s">
        <v>223</v>
      </c>
      <c r="I149" s="70">
        <v>45279</v>
      </c>
      <c r="J149" s="41" t="s">
        <v>224</v>
      </c>
      <c r="K149" s="1">
        <v>0.81200000000000006</v>
      </c>
      <c r="P149" s="2">
        <v>1.8080000000000001</v>
      </c>
      <c r="Q149" s="2">
        <v>15</v>
      </c>
      <c r="R149" s="2">
        <f>48.79-14.32</f>
        <v>34.47</v>
      </c>
      <c r="T149" s="3">
        <v>5</v>
      </c>
      <c r="V149" s="72" t="s">
        <v>225</v>
      </c>
    </row>
    <row r="150" spans="1:22" s="75" customFormat="1" x14ac:dyDescent="0.3">
      <c r="A150" s="342"/>
      <c r="B150" s="342"/>
      <c r="C150" s="73" t="s">
        <v>24</v>
      </c>
      <c r="D150" s="74">
        <v>5</v>
      </c>
      <c r="G150" s="75">
        <v>879</v>
      </c>
      <c r="H150" s="73" t="s">
        <v>226</v>
      </c>
      <c r="I150" s="350">
        <v>45278</v>
      </c>
      <c r="J150" s="76" t="s">
        <v>227</v>
      </c>
      <c r="K150" s="75">
        <v>0.91700000000000004</v>
      </c>
      <c r="M150" s="77"/>
      <c r="N150" s="77"/>
      <c r="O150" s="77"/>
      <c r="P150" s="77">
        <v>2.306</v>
      </c>
      <c r="Q150" s="77">
        <v>15</v>
      </c>
      <c r="R150" s="77">
        <f>49.51-14.31</f>
        <v>35.199999999999996</v>
      </c>
      <c r="S150" s="77"/>
      <c r="T150" s="78">
        <v>5</v>
      </c>
      <c r="V150" s="80" t="s">
        <v>228</v>
      </c>
    </row>
    <row r="151" spans="1:22" s="75" customFormat="1" x14ac:dyDescent="0.3">
      <c r="A151" s="342"/>
      <c r="B151" s="342"/>
      <c r="C151" s="73" t="s">
        <v>24</v>
      </c>
      <c r="D151" s="74">
        <v>6</v>
      </c>
      <c r="G151" s="75">
        <v>882</v>
      </c>
      <c r="H151" s="73" t="s">
        <v>229</v>
      </c>
      <c r="I151" s="351"/>
      <c r="J151" s="76" t="s">
        <v>230</v>
      </c>
      <c r="K151" s="75">
        <v>0.875</v>
      </c>
      <c r="M151" s="77"/>
      <c r="N151" s="77"/>
      <c r="O151" s="77"/>
      <c r="P151" s="77">
        <v>2.0870000000000002</v>
      </c>
      <c r="Q151" s="77">
        <v>15</v>
      </c>
      <c r="R151" s="77">
        <f>47.68-14.45</f>
        <v>33.230000000000004</v>
      </c>
      <c r="S151" s="77"/>
      <c r="T151" s="78">
        <v>5</v>
      </c>
      <c r="V151" s="80" t="s">
        <v>228</v>
      </c>
    </row>
    <row r="152" spans="1:22" x14ac:dyDescent="0.25">
      <c r="A152" s="342"/>
      <c r="B152" s="342"/>
      <c r="C152" s="43" t="s">
        <v>24</v>
      </c>
      <c r="D152" s="8">
        <v>7</v>
      </c>
      <c r="G152" s="1">
        <v>881</v>
      </c>
      <c r="H152" s="43" t="s">
        <v>231</v>
      </c>
      <c r="I152" s="351"/>
      <c r="J152" s="15" t="s">
        <v>232</v>
      </c>
      <c r="K152" s="1">
        <v>0.85599999999999998</v>
      </c>
      <c r="P152" s="2">
        <v>1.9039999999999999</v>
      </c>
      <c r="Q152" s="2">
        <v>15</v>
      </c>
      <c r="R152" s="2">
        <f>48.32-14.43</f>
        <v>33.89</v>
      </c>
      <c r="T152" s="3">
        <v>5</v>
      </c>
      <c r="V152" s="72" t="s">
        <v>217</v>
      </c>
    </row>
    <row r="153" spans="1:22" s="75" customFormat="1" x14ac:dyDescent="0.25">
      <c r="A153" s="343"/>
      <c r="B153" s="343"/>
      <c r="C153" s="73" t="s">
        <v>24</v>
      </c>
      <c r="D153" s="74">
        <v>8</v>
      </c>
      <c r="G153" s="75">
        <v>873</v>
      </c>
      <c r="H153" s="73" t="s">
        <v>233</v>
      </c>
      <c r="I153" s="352"/>
      <c r="J153" s="76" t="s">
        <v>234</v>
      </c>
      <c r="K153" s="75">
        <v>0.92400000000000004</v>
      </c>
      <c r="M153" s="77"/>
      <c r="N153" s="77"/>
      <c r="O153" s="77"/>
      <c r="P153" s="77">
        <v>1.9590000000000001</v>
      </c>
      <c r="Q153" s="77">
        <v>15</v>
      </c>
      <c r="R153" s="77">
        <f>50.02-14.36</f>
        <v>35.660000000000004</v>
      </c>
      <c r="S153" s="77"/>
      <c r="T153" s="78">
        <v>5</v>
      </c>
      <c r="V153" s="79" t="s">
        <v>235</v>
      </c>
    </row>
    <row r="154" spans="1:22" s="9" customFormat="1" x14ac:dyDescent="0.25">
      <c r="A154" s="341" t="s">
        <v>100</v>
      </c>
      <c r="B154" s="341" t="s">
        <v>236</v>
      </c>
      <c r="C154" s="45" t="s">
        <v>24</v>
      </c>
      <c r="D154" s="45">
        <v>1</v>
      </c>
      <c r="G154" s="15">
        <v>824</v>
      </c>
      <c r="H154" s="15" t="s">
        <v>131</v>
      </c>
      <c r="I154" s="347">
        <v>45280</v>
      </c>
      <c r="J154" s="41" t="s">
        <v>237</v>
      </c>
      <c r="K154" s="9">
        <v>1.365</v>
      </c>
      <c r="M154" s="12"/>
      <c r="N154" s="12"/>
      <c r="O154" s="12"/>
      <c r="P154" s="12">
        <v>3.2890000000000001</v>
      </c>
      <c r="Q154" s="12">
        <v>15</v>
      </c>
      <c r="R154" s="12">
        <f>53.94-14.36</f>
        <v>39.58</v>
      </c>
      <c r="S154" s="12"/>
      <c r="T154" s="14">
        <v>5</v>
      </c>
    </row>
    <row r="155" spans="1:22" x14ac:dyDescent="0.25">
      <c r="A155" s="342"/>
      <c r="B155" s="342"/>
      <c r="C155" s="43" t="s">
        <v>24</v>
      </c>
      <c r="D155" s="43">
        <v>2</v>
      </c>
      <c r="G155" s="16">
        <v>824</v>
      </c>
      <c r="H155" s="16" t="s">
        <v>131</v>
      </c>
      <c r="I155" s="348"/>
      <c r="J155" s="41" t="s">
        <v>238</v>
      </c>
      <c r="K155" s="1">
        <v>1.657</v>
      </c>
      <c r="P155" s="2">
        <v>3.448</v>
      </c>
      <c r="Q155" s="2">
        <v>15</v>
      </c>
      <c r="R155" s="2">
        <f>52.62-14.2</f>
        <v>38.42</v>
      </c>
      <c r="T155" s="3">
        <v>5</v>
      </c>
    </row>
    <row r="156" spans="1:22" x14ac:dyDescent="0.25">
      <c r="A156" s="342"/>
      <c r="B156" s="342"/>
      <c r="C156" s="43" t="s">
        <v>24</v>
      </c>
      <c r="D156" s="43">
        <v>3</v>
      </c>
      <c r="G156" s="16">
        <v>824</v>
      </c>
      <c r="H156" s="16" t="s">
        <v>131</v>
      </c>
      <c r="I156" s="348"/>
      <c r="J156" s="41" t="s">
        <v>239</v>
      </c>
      <c r="K156" s="1">
        <v>1.6040000000000001</v>
      </c>
      <c r="P156" s="2">
        <v>3.2690000000000001</v>
      </c>
      <c r="Q156" s="2">
        <v>15</v>
      </c>
      <c r="R156" s="2">
        <f>50.61-14.28</f>
        <v>36.33</v>
      </c>
      <c r="T156" s="3">
        <v>5</v>
      </c>
    </row>
    <row r="157" spans="1:22" x14ac:dyDescent="0.25">
      <c r="A157" s="342"/>
      <c r="B157" s="342"/>
      <c r="C157" s="43" t="s">
        <v>24</v>
      </c>
      <c r="D157" s="43">
        <v>4</v>
      </c>
      <c r="G157" s="16">
        <v>824</v>
      </c>
      <c r="H157" s="16" t="s">
        <v>131</v>
      </c>
      <c r="I157" s="348"/>
      <c r="J157" s="41" t="s">
        <v>240</v>
      </c>
      <c r="K157" s="1">
        <v>1.4690000000000001</v>
      </c>
      <c r="P157" s="2">
        <v>3.085</v>
      </c>
      <c r="Q157" s="2">
        <v>15</v>
      </c>
      <c r="R157" s="2">
        <f>52.55-14.35</f>
        <v>38.199999999999996</v>
      </c>
      <c r="T157" s="3">
        <v>5</v>
      </c>
    </row>
    <row r="158" spans="1:22" x14ac:dyDescent="0.25">
      <c r="A158" s="342"/>
      <c r="B158" s="342"/>
      <c r="C158" s="43" t="s">
        <v>24</v>
      </c>
      <c r="D158" s="43">
        <v>5</v>
      </c>
      <c r="G158" s="16">
        <v>824</v>
      </c>
      <c r="H158" s="16" t="s">
        <v>131</v>
      </c>
      <c r="I158" s="348"/>
      <c r="J158" s="41" t="s">
        <v>241</v>
      </c>
      <c r="K158" s="1">
        <v>1.629</v>
      </c>
      <c r="P158" s="2">
        <v>2.1509999999999998</v>
      </c>
      <c r="Q158" s="2">
        <v>15</v>
      </c>
      <c r="R158" s="2">
        <f>50.95-14.46</f>
        <v>36.49</v>
      </c>
      <c r="T158" s="3">
        <v>5</v>
      </c>
    </row>
    <row r="159" spans="1:22" x14ac:dyDescent="0.25">
      <c r="A159" s="342"/>
      <c r="B159" s="342"/>
      <c r="C159" s="43" t="s">
        <v>24</v>
      </c>
      <c r="D159" s="43">
        <v>6</v>
      </c>
      <c r="G159" s="16">
        <v>824</v>
      </c>
      <c r="H159" s="16" t="s">
        <v>131</v>
      </c>
      <c r="I159" s="348"/>
      <c r="J159" s="41" t="s">
        <v>242</v>
      </c>
      <c r="K159" s="1">
        <v>1.591</v>
      </c>
      <c r="P159" s="2">
        <v>2.899</v>
      </c>
      <c r="Q159" s="2">
        <v>15</v>
      </c>
      <c r="R159" s="2">
        <f>51.15-14.32</f>
        <v>36.83</v>
      </c>
      <c r="T159" s="3">
        <v>5</v>
      </c>
    </row>
    <row r="160" spans="1:22" x14ac:dyDescent="0.25">
      <c r="A160" s="342"/>
      <c r="B160" s="342"/>
      <c r="C160" s="43" t="s">
        <v>24</v>
      </c>
      <c r="D160" s="43">
        <v>7</v>
      </c>
      <c r="G160" s="16">
        <v>824</v>
      </c>
      <c r="H160" s="16" t="s">
        <v>131</v>
      </c>
      <c r="I160" s="348"/>
      <c r="J160" s="41" t="s">
        <v>243</v>
      </c>
      <c r="K160" s="1">
        <v>1.597</v>
      </c>
      <c r="P160" s="2">
        <v>3.645</v>
      </c>
      <c r="Q160" s="2">
        <v>15</v>
      </c>
      <c r="R160" s="2">
        <f>51.78-14.3</f>
        <v>37.480000000000004</v>
      </c>
      <c r="T160" s="3">
        <v>5</v>
      </c>
    </row>
    <row r="161" spans="1:20" x14ac:dyDescent="0.25">
      <c r="A161" s="342"/>
      <c r="B161" s="342"/>
      <c r="C161" s="43" t="s">
        <v>24</v>
      </c>
      <c r="D161" s="43">
        <v>8</v>
      </c>
      <c r="G161" s="16">
        <v>824</v>
      </c>
      <c r="H161" s="16" t="s">
        <v>131</v>
      </c>
      <c r="I161" s="348"/>
      <c r="J161" s="41" t="s">
        <v>244</v>
      </c>
      <c r="K161" s="1">
        <v>2.2109999999999999</v>
      </c>
      <c r="P161" s="2">
        <v>3.2349999999999999</v>
      </c>
      <c r="Q161" s="2">
        <v>15</v>
      </c>
      <c r="R161" s="2">
        <f>51.75-14.24</f>
        <v>37.51</v>
      </c>
      <c r="T161" s="3">
        <v>5</v>
      </c>
    </row>
    <row r="162" spans="1:20" x14ac:dyDescent="0.25">
      <c r="A162" s="342"/>
      <c r="B162" s="342"/>
      <c r="C162" s="43" t="s">
        <v>24</v>
      </c>
      <c r="D162" s="43">
        <v>9</v>
      </c>
      <c r="G162" s="16">
        <v>824</v>
      </c>
      <c r="H162" s="16" t="s">
        <v>131</v>
      </c>
      <c r="I162" s="348"/>
      <c r="J162" s="41" t="s">
        <v>245</v>
      </c>
      <c r="K162" s="1">
        <v>1.07</v>
      </c>
      <c r="P162" s="2">
        <v>2.5659999999999998</v>
      </c>
      <c r="Q162" s="2">
        <v>15</v>
      </c>
      <c r="R162" s="2">
        <f>51.74-14.28</f>
        <v>37.46</v>
      </c>
      <c r="T162" s="3">
        <v>5</v>
      </c>
    </row>
    <row r="163" spans="1:20" x14ac:dyDescent="0.25">
      <c r="A163" s="342"/>
      <c r="B163" s="342"/>
      <c r="C163" s="43" t="s">
        <v>24</v>
      </c>
      <c r="D163" s="43">
        <v>10</v>
      </c>
      <c r="G163" s="16">
        <v>824</v>
      </c>
      <c r="H163" s="16" t="s">
        <v>131</v>
      </c>
      <c r="I163" s="348"/>
      <c r="J163" s="41" t="s">
        <v>246</v>
      </c>
      <c r="K163" s="1">
        <v>1.1850000000000001</v>
      </c>
      <c r="P163" s="2">
        <v>2.8159999999999998</v>
      </c>
      <c r="Q163" s="2">
        <v>15</v>
      </c>
      <c r="R163" s="2">
        <f>53.14-14.45</f>
        <v>38.69</v>
      </c>
      <c r="T163" s="3">
        <v>5</v>
      </c>
    </row>
    <row r="164" spans="1:20" x14ac:dyDescent="0.25">
      <c r="A164" s="342"/>
      <c r="B164" s="342"/>
      <c r="C164" s="43" t="s">
        <v>24</v>
      </c>
      <c r="D164" s="43">
        <v>11</v>
      </c>
      <c r="G164" s="16">
        <v>824</v>
      </c>
      <c r="H164" s="16" t="s">
        <v>131</v>
      </c>
      <c r="I164" s="348"/>
      <c r="J164" s="41" t="s">
        <v>247</v>
      </c>
      <c r="K164" s="1">
        <v>1.4019999999999999</v>
      </c>
      <c r="P164" s="2">
        <v>3.024</v>
      </c>
      <c r="Q164" s="2">
        <v>15</v>
      </c>
      <c r="R164" s="2">
        <f>52.34-14.22</f>
        <v>38.120000000000005</v>
      </c>
      <c r="T164" s="3">
        <v>5</v>
      </c>
    </row>
    <row r="165" spans="1:20" x14ac:dyDescent="0.25">
      <c r="A165" s="342"/>
      <c r="B165" s="342"/>
      <c r="C165" s="43" t="s">
        <v>24</v>
      </c>
      <c r="D165" s="43">
        <v>12</v>
      </c>
      <c r="G165" s="16">
        <v>824</v>
      </c>
      <c r="H165" s="1" t="s">
        <v>131</v>
      </c>
      <c r="I165" s="347">
        <v>45277</v>
      </c>
      <c r="J165" s="15" t="s">
        <v>248</v>
      </c>
      <c r="K165" s="1">
        <v>0.92200000000000004</v>
      </c>
      <c r="P165" s="2">
        <v>2.5760000000000001</v>
      </c>
      <c r="Q165" s="2">
        <v>15</v>
      </c>
      <c r="R165" s="2">
        <f>55.57-14.26</f>
        <v>41.31</v>
      </c>
      <c r="T165" s="3">
        <v>5</v>
      </c>
    </row>
    <row r="166" spans="1:20" x14ac:dyDescent="0.25">
      <c r="A166" s="342"/>
      <c r="B166" s="342"/>
      <c r="C166" s="43" t="s">
        <v>24</v>
      </c>
      <c r="D166" s="43">
        <v>13</v>
      </c>
      <c r="G166" s="16">
        <v>824</v>
      </c>
      <c r="H166" s="1" t="s">
        <v>131</v>
      </c>
      <c r="I166" s="343"/>
      <c r="J166" s="15" t="s">
        <v>249</v>
      </c>
      <c r="K166" s="1">
        <v>0.89700000000000002</v>
      </c>
      <c r="P166" s="2">
        <v>2.802</v>
      </c>
      <c r="Q166" s="2">
        <v>15</v>
      </c>
      <c r="R166" s="2">
        <f>59.46-14.32</f>
        <v>45.14</v>
      </c>
      <c r="T166" s="3">
        <v>5</v>
      </c>
    </row>
    <row r="167" spans="1:20" x14ac:dyDescent="0.25">
      <c r="A167" s="342"/>
      <c r="B167" s="342"/>
      <c r="C167" s="43" t="s">
        <v>24</v>
      </c>
      <c r="D167" s="43">
        <v>14</v>
      </c>
      <c r="G167" s="16">
        <v>824</v>
      </c>
      <c r="H167" s="1" t="s">
        <v>131</v>
      </c>
      <c r="I167" s="348">
        <v>45280</v>
      </c>
      <c r="J167" s="15" t="s">
        <v>250</v>
      </c>
      <c r="K167" s="1">
        <v>1.109</v>
      </c>
      <c r="P167" s="2">
        <v>3.024</v>
      </c>
      <c r="Q167" s="2">
        <v>15</v>
      </c>
      <c r="R167" s="2">
        <f>52.21-14.22</f>
        <v>37.99</v>
      </c>
      <c r="T167" s="3">
        <v>5</v>
      </c>
    </row>
    <row r="168" spans="1:20" x14ac:dyDescent="0.25">
      <c r="A168" s="342"/>
      <c r="B168" s="342"/>
      <c r="C168" s="43" t="s">
        <v>24</v>
      </c>
      <c r="D168" s="43">
        <v>15</v>
      </c>
      <c r="G168" s="16">
        <v>824</v>
      </c>
      <c r="H168" s="1" t="s">
        <v>131</v>
      </c>
      <c r="I168" s="342"/>
      <c r="J168" s="15" t="s">
        <v>251</v>
      </c>
      <c r="K168" s="1">
        <v>1.4450000000000001</v>
      </c>
      <c r="P168" s="2">
        <v>3.169</v>
      </c>
      <c r="Q168" s="2">
        <v>15</v>
      </c>
      <c r="R168" s="2">
        <f>51.49-14.25</f>
        <v>37.24</v>
      </c>
      <c r="T168" s="3">
        <v>5</v>
      </c>
    </row>
    <row r="169" spans="1:20" x14ac:dyDescent="0.25">
      <c r="A169" s="342"/>
      <c r="B169" s="342"/>
      <c r="C169" s="43" t="s">
        <v>24</v>
      </c>
      <c r="D169" s="43">
        <v>16</v>
      </c>
      <c r="G169" s="16">
        <v>824</v>
      </c>
      <c r="H169" s="1" t="s">
        <v>131</v>
      </c>
      <c r="I169" s="342"/>
      <c r="J169" s="15" t="s">
        <v>252</v>
      </c>
      <c r="K169" s="1">
        <v>1.3520000000000001</v>
      </c>
      <c r="P169" s="2">
        <v>2.823</v>
      </c>
      <c r="Q169" s="2">
        <v>15</v>
      </c>
      <c r="R169" s="2">
        <f>51.36-14.3</f>
        <v>37.06</v>
      </c>
      <c r="T169" s="3">
        <v>5</v>
      </c>
    </row>
    <row r="170" spans="1:20" x14ac:dyDescent="0.25">
      <c r="A170" s="342"/>
      <c r="B170" s="342"/>
      <c r="C170" s="43" t="s">
        <v>24</v>
      </c>
      <c r="D170" s="43">
        <v>17</v>
      </c>
      <c r="G170" s="16">
        <v>824</v>
      </c>
      <c r="H170" s="1" t="s">
        <v>131</v>
      </c>
      <c r="I170" s="342"/>
      <c r="J170" s="15" t="s">
        <v>253</v>
      </c>
      <c r="K170" s="1">
        <v>1.4470000000000001</v>
      </c>
      <c r="P170" s="2">
        <v>2.9220000000000002</v>
      </c>
      <c r="Q170" s="2">
        <v>15</v>
      </c>
      <c r="R170" s="2">
        <f>52.2-14.25</f>
        <v>37.950000000000003</v>
      </c>
      <c r="T170" s="3">
        <v>5</v>
      </c>
    </row>
    <row r="171" spans="1:20" x14ac:dyDescent="0.25">
      <c r="A171" s="342"/>
      <c r="B171" s="342"/>
      <c r="C171" s="43" t="s">
        <v>24</v>
      </c>
      <c r="D171" s="43">
        <v>18</v>
      </c>
      <c r="G171" s="16">
        <v>824</v>
      </c>
      <c r="H171" s="1" t="s">
        <v>131</v>
      </c>
      <c r="I171" s="342"/>
      <c r="J171" s="15" t="s">
        <v>254</v>
      </c>
      <c r="K171" s="1">
        <v>1.5580000000000001</v>
      </c>
      <c r="P171" s="2">
        <v>2.8359999999999999</v>
      </c>
      <c r="Q171" s="2">
        <v>15</v>
      </c>
      <c r="R171" s="2">
        <f>52.37-14.38</f>
        <v>37.989999999999995</v>
      </c>
      <c r="T171" s="3">
        <v>5</v>
      </c>
    </row>
    <row r="172" spans="1:20" x14ac:dyDescent="0.25">
      <c r="A172" s="342"/>
      <c r="B172" s="342"/>
      <c r="C172" s="43" t="s">
        <v>24</v>
      </c>
      <c r="D172" s="43">
        <v>19</v>
      </c>
      <c r="G172" s="16">
        <v>824</v>
      </c>
      <c r="H172" s="1" t="s">
        <v>131</v>
      </c>
      <c r="I172" s="342"/>
      <c r="J172" s="15" t="s">
        <v>255</v>
      </c>
      <c r="K172" s="1">
        <v>1.548</v>
      </c>
      <c r="P172" s="2">
        <v>2.8079999999999998</v>
      </c>
      <c r="Q172" s="2">
        <v>15</v>
      </c>
      <c r="R172" s="2">
        <f>52.95-14.37</f>
        <v>38.580000000000005</v>
      </c>
      <c r="T172" s="3">
        <v>5</v>
      </c>
    </row>
    <row r="173" spans="1:20" x14ac:dyDescent="0.25">
      <c r="A173" s="342"/>
      <c r="B173" s="342"/>
      <c r="C173" s="43" t="s">
        <v>24</v>
      </c>
      <c r="D173" s="43">
        <v>20</v>
      </c>
      <c r="G173" s="16">
        <v>824</v>
      </c>
      <c r="H173" s="1" t="s">
        <v>131</v>
      </c>
      <c r="I173" s="342"/>
      <c r="J173" s="15" t="s">
        <v>256</v>
      </c>
      <c r="K173" s="1">
        <v>1.4119999999999999</v>
      </c>
      <c r="P173" s="2">
        <v>3.0979999999999999</v>
      </c>
      <c r="Q173" s="2">
        <v>15</v>
      </c>
      <c r="R173" s="2">
        <f>52.15-14.27</f>
        <v>37.879999999999995</v>
      </c>
      <c r="T173" s="3">
        <v>5</v>
      </c>
    </row>
    <row r="174" spans="1:20" x14ac:dyDescent="0.25">
      <c r="A174" s="342"/>
      <c r="B174" s="342"/>
      <c r="C174" s="43" t="s">
        <v>24</v>
      </c>
      <c r="D174" s="43">
        <v>21</v>
      </c>
      <c r="G174" s="16">
        <v>824</v>
      </c>
      <c r="H174" s="1" t="s">
        <v>131</v>
      </c>
      <c r="I174" s="342"/>
      <c r="J174" s="15" t="s">
        <v>257</v>
      </c>
      <c r="K174" s="1">
        <v>1.548</v>
      </c>
      <c r="P174" s="2">
        <v>2.6389999999999998</v>
      </c>
      <c r="Q174" s="2">
        <v>15</v>
      </c>
      <c r="R174" s="2">
        <f>50.15-14.35</f>
        <v>35.799999999999997</v>
      </c>
      <c r="T174" s="3">
        <v>5</v>
      </c>
    </row>
    <row r="175" spans="1:20" x14ac:dyDescent="0.25">
      <c r="A175" s="342"/>
      <c r="B175" s="342"/>
      <c r="C175" s="43" t="s">
        <v>24</v>
      </c>
      <c r="D175" s="43">
        <v>22</v>
      </c>
      <c r="G175" s="16">
        <v>824</v>
      </c>
      <c r="H175" s="1" t="s">
        <v>131</v>
      </c>
      <c r="I175" s="342"/>
      <c r="J175" s="15" t="s">
        <v>258</v>
      </c>
      <c r="K175" s="1">
        <v>1.722</v>
      </c>
      <c r="P175" s="2">
        <v>2.4390000000000001</v>
      </c>
      <c r="Q175" s="2">
        <v>15</v>
      </c>
      <c r="R175" s="2">
        <f>43.79-14.33</f>
        <v>29.46</v>
      </c>
      <c r="T175" s="3">
        <v>5</v>
      </c>
    </row>
    <row r="176" spans="1:20" x14ac:dyDescent="0.25">
      <c r="A176" s="342"/>
      <c r="B176" s="342"/>
      <c r="C176" s="43" t="s">
        <v>24</v>
      </c>
      <c r="D176" s="43">
        <v>23</v>
      </c>
      <c r="G176" s="16">
        <v>824</v>
      </c>
      <c r="H176" s="1" t="s">
        <v>131</v>
      </c>
      <c r="I176" s="343"/>
      <c r="J176" s="15" t="s">
        <v>259</v>
      </c>
      <c r="K176" s="1">
        <v>0.86199999999999999</v>
      </c>
      <c r="P176" s="2">
        <v>1.4</v>
      </c>
      <c r="Q176" s="2">
        <v>15</v>
      </c>
      <c r="R176" s="2">
        <f>53.33-19.22</f>
        <v>34.11</v>
      </c>
      <c r="T176" s="3">
        <v>5</v>
      </c>
    </row>
    <row r="177" spans="1:20" x14ac:dyDescent="0.25">
      <c r="A177" s="343"/>
      <c r="B177" s="343"/>
      <c r="C177" s="43" t="s">
        <v>24</v>
      </c>
      <c r="D177" s="43">
        <v>24</v>
      </c>
      <c r="G177" s="16">
        <v>824</v>
      </c>
      <c r="H177" s="16" t="s">
        <v>131</v>
      </c>
      <c r="I177" s="67">
        <v>45278</v>
      </c>
      <c r="J177" s="41" t="s">
        <v>260</v>
      </c>
      <c r="K177" s="1">
        <v>1.214</v>
      </c>
      <c r="P177" s="2">
        <v>3.0489999999999999</v>
      </c>
      <c r="Q177" s="2">
        <v>15</v>
      </c>
      <c r="R177" s="2">
        <f>54.28-14.32</f>
        <v>39.96</v>
      </c>
      <c r="T177" s="3">
        <v>5</v>
      </c>
    </row>
    <row r="178" spans="1:20" s="9" customFormat="1" x14ac:dyDescent="0.25">
      <c r="A178" s="341" t="s">
        <v>100</v>
      </c>
      <c r="B178" s="341" t="s">
        <v>261</v>
      </c>
      <c r="C178" s="45" t="s">
        <v>45</v>
      </c>
      <c r="D178" s="45">
        <v>1</v>
      </c>
      <c r="G178" s="15">
        <v>824</v>
      </c>
      <c r="H178" s="9" t="s">
        <v>131</v>
      </c>
      <c r="I178" s="347">
        <v>45281</v>
      </c>
      <c r="J178" s="15" t="s">
        <v>262</v>
      </c>
      <c r="K178" s="9">
        <v>1.1339999999999999</v>
      </c>
      <c r="M178" s="12"/>
      <c r="N178" s="12"/>
      <c r="O178" s="12"/>
      <c r="P178" s="12">
        <v>3.1339999999999999</v>
      </c>
      <c r="Q178" s="12">
        <v>15</v>
      </c>
      <c r="R178" s="12">
        <f>57.71-14.47</f>
        <v>43.24</v>
      </c>
      <c r="S178" s="12"/>
      <c r="T178" s="14">
        <v>5</v>
      </c>
    </row>
    <row r="179" spans="1:20" x14ac:dyDescent="0.25">
      <c r="A179" s="342"/>
      <c r="B179" s="342"/>
      <c r="C179" s="43" t="s">
        <v>45</v>
      </c>
      <c r="D179" s="43">
        <v>2</v>
      </c>
      <c r="G179" s="16">
        <v>824</v>
      </c>
      <c r="H179" s="1" t="s">
        <v>131</v>
      </c>
      <c r="I179" s="342"/>
      <c r="J179" s="15" t="s">
        <v>263</v>
      </c>
      <c r="K179" s="1">
        <v>0.92500000000000004</v>
      </c>
      <c r="P179" s="2">
        <v>2.3820000000000001</v>
      </c>
      <c r="Q179" s="2">
        <v>15</v>
      </c>
      <c r="R179" s="2">
        <f>58.38-14.24</f>
        <v>44.14</v>
      </c>
      <c r="T179" s="3">
        <v>5</v>
      </c>
    </row>
    <row r="180" spans="1:20" x14ac:dyDescent="0.25">
      <c r="A180" s="342"/>
      <c r="B180" s="342"/>
      <c r="C180" s="43" t="s">
        <v>45</v>
      </c>
      <c r="D180" s="43">
        <v>3</v>
      </c>
      <c r="G180" s="16">
        <v>824</v>
      </c>
      <c r="H180" s="1" t="s">
        <v>131</v>
      </c>
      <c r="I180" s="342"/>
      <c r="J180" s="15" t="s">
        <v>264</v>
      </c>
      <c r="K180" s="1">
        <v>1.1160000000000001</v>
      </c>
      <c r="P180" s="2">
        <v>2.903</v>
      </c>
      <c r="Q180" s="2">
        <v>15</v>
      </c>
      <c r="R180" s="2">
        <f>56.57-14.37</f>
        <v>42.2</v>
      </c>
      <c r="T180" s="3">
        <v>5</v>
      </c>
    </row>
    <row r="181" spans="1:20" x14ac:dyDescent="0.25">
      <c r="A181" s="342"/>
      <c r="B181" s="342"/>
      <c r="C181" s="43" t="s">
        <v>45</v>
      </c>
      <c r="D181" s="43">
        <v>4</v>
      </c>
      <c r="G181" s="16">
        <v>824</v>
      </c>
      <c r="H181" s="1" t="s">
        <v>131</v>
      </c>
      <c r="I181" s="342"/>
      <c r="J181" s="15" t="s">
        <v>265</v>
      </c>
      <c r="K181" s="1">
        <v>0.9</v>
      </c>
      <c r="P181" s="2">
        <v>2.37</v>
      </c>
      <c r="Q181" s="2">
        <v>15</v>
      </c>
      <c r="R181" s="2">
        <f>59-14.25</f>
        <v>44.75</v>
      </c>
      <c r="T181" s="3">
        <v>5</v>
      </c>
    </row>
    <row r="182" spans="1:20" x14ac:dyDescent="0.25">
      <c r="A182" s="342"/>
      <c r="B182" s="342"/>
      <c r="C182" s="43" t="s">
        <v>45</v>
      </c>
      <c r="D182" s="43">
        <v>1</v>
      </c>
      <c r="G182" s="16">
        <v>824</v>
      </c>
      <c r="H182" s="1" t="s">
        <v>131</v>
      </c>
      <c r="I182" s="347">
        <v>45283</v>
      </c>
      <c r="J182" s="15" t="s">
        <v>266</v>
      </c>
      <c r="K182" s="1">
        <v>1.4510000000000001</v>
      </c>
      <c r="P182" s="2">
        <v>4.125</v>
      </c>
      <c r="Q182" s="2">
        <v>15</v>
      </c>
      <c r="R182" s="2">
        <f>59.7-14.354</f>
        <v>45.346000000000004</v>
      </c>
      <c r="T182" s="3">
        <v>5</v>
      </c>
    </row>
    <row r="183" spans="1:20" x14ac:dyDescent="0.25">
      <c r="A183" s="342"/>
      <c r="B183" s="342"/>
      <c r="C183" s="43" t="s">
        <v>45</v>
      </c>
      <c r="D183" s="43">
        <v>2</v>
      </c>
      <c r="G183" s="16">
        <v>824</v>
      </c>
      <c r="H183" s="1" t="s">
        <v>131</v>
      </c>
      <c r="I183" s="342"/>
      <c r="J183" s="15" t="s">
        <v>267</v>
      </c>
      <c r="K183" s="1">
        <v>0.98199999999999998</v>
      </c>
      <c r="P183" s="2">
        <v>2.95</v>
      </c>
      <c r="Q183" s="2">
        <v>15</v>
      </c>
      <c r="R183" s="2">
        <f>59.8-14.35</f>
        <v>45.449999999999996</v>
      </c>
      <c r="T183" s="3">
        <v>5</v>
      </c>
    </row>
    <row r="184" spans="1:20" x14ac:dyDescent="0.25">
      <c r="A184" s="342"/>
      <c r="B184" s="342"/>
      <c r="C184" s="43" t="s">
        <v>45</v>
      </c>
      <c r="D184" s="43">
        <v>3</v>
      </c>
      <c r="G184" s="16">
        <v>824</v>
      </c>
      <c r="H184" s="1" t="s">
        <v>131</v>
      </c>
      <c r="I184" s="342"/>
      <c r="J184" s="15" t="s">
        <v>268</v>
      </c>
      <c r="K184" s="1">
        <v>1.359</v>
      </c>
      <c r="P184" s="2">
        <v>3.9020000000000001</v>
      </c>
      <c r="Q184" s="2">
        <v>15</v>
      </c>
      <c r="R184" s="2">
        <f>59.56-14.89</f>
        <v>44.67</v>
      </c>
      <c r="T184" s="3">
        <v>5</v>
      </c>
    </row>
    <row r="185" spans="1:20" x14ac:dyDescent="0.25">
      <c r="A185" s="342"/>
      <c r="B185" s="342"/>
      <c r="C185" s="43" t="s">
        <v>45</v>
      </c>
      <c r="D185" s="43">
        <v>4</v>
      </c>
      <c r="G185" s="16">
        <v>824</v>
      </c>
      <c r="H185" s="1" t="s">
        <v>131</v>
      </c>
      <c r="I185" s="343"/>
      <c r="J185" s="15" t="s">
        <v>269</v>
      </c>
      <c r="K185" s="1">
        <v>1.2130000000000001</v>
      </c>
      <c r="P185" s="2">
        <v>3.351</v>
      </c>
      <c r="Q185" s="2">
        <v>15</v>
      </c>
      <c r="R185" s="2">
        <f>59.69-14.41</f>
        <v>45.28</v>
      </c>
      <c r="T185" s="3">
        <v>5</v>
      </c>
    </row>
    <row r="186" spans="1:20" x14ac:dyDescent="0.25">
      <c r="A186" s="342"/>
      <c r="B186" s="342"/>
      <c r="C186" s="43" t="s">
        <v>45</v>
      </c>
      <c r="D186" s="43">
        <v>1</v>
      </c>
      <c r="G186" s="16">
        <v>824</v>
      </c>
      <c r="H186" s="16" t="s">
        <v>131</v>
      </c>
      <c r="I186" s="347">
        <v>45285</v>
      </c>
      <c r="J186" s="41" t="s">
        <v>270</v>
      </c>
    </row>
    <row r="187" spans="1:20" x14ac:dyDescent="0.25">
      <c r="A187" s="342"/>
      <c r="B187" s="342"/>
      <c r="C187" s="43" t="s">
        <v>45</v>
      </c>
      <c r="D187" s="43">
        <v>2</v>
      </c>
      <c r="G187" s="16">
        <v>824</v>
      </c>
      <c r="H187" s="16" t="s">
        <v>131</v>
      </c>
      <c r="I187" s="342"/>
      <c r="J187" s="41" t="s">
        <v>271</v>
      </c>
    </row>
    <row r="188" spans="1:20" x14ac:dyDescent="0.25">
      <c r="A188" s="342"/>
      <c r="B188" s="342"/>
      <c r="C188" s="43" t="s">
        <v>45</v>
      </c>
      <c r="D188" s="43">
        <v>3</v>
      </c>
      <c r="G188" s="16">
        <v>824</v>
      </c>
      <c r="H188" s="16" t="s">
        <v>131</v>
      </c>
      <c r="I188" s="342"/>
      <c r="J188" s="41" t="s">
        <v>272</v>
      </c>
    </row>
    <row r="189" spans="1:20" x14ac:dyDescent="0.25">
      <c r="A189" s="343"/>
      <c r="B189" s="343"/>
      <c r="C189" s="43" t="s">
        <v>45</v>
      </c>
      <c r="D189" s="43">
        <v>4</v>
      </c>
      <c r="G189" s="16">
        <v>824</v>
      </c>
      <c r="H189" s="16" t="s">
        <v>131</v>
      </c>
      <c r="I189" s="342"/>
      <c r="J189" s="41" t="s">
        <v>273</v>
      </c>
    </row>
    <row r="190" spans="1:20" s="9" customFormat="1" x14ac:dyDescent="0.25">
      <c r="A190" s="341" t="s">
        <v>100</v>
      </c>
      <c r="B190" s="341" t="s">
        <v>274</v>
      </c>
      <c r="C190" s="45" t="s">
        <v>24</v>
      </c>
      <c r="D190" s="45">
        <v>1</v>
      </c>
      <c r="G190" s="15">
        <v>824</v>
      </c>
      <c r="H190" s="15" t="s">
        <v>131</v>
      </c>
      <c r="I190" s="344">
        <v>45283</v>
      </c>
      <c r="J190" s="15" t="s">
        <v>275</v>
      </c>
      <c r="K190" s="9">
        <v>1.4810000000000001</v>
      </c>
      <c r="M190" s="12"/>
      <c r="N190" s="12"/>
      <c r="O190" s="12"/>
      <c r="P190" s="12">
        <v>3.5870000000000002</v>
      </c>
      <c r="Q190" s="12">
        <v>15</v>
      </c>
      <c r="R190" s="12">
        <f>57.61-14.4</f>
        <v>43.21</v>
      </c>
      <c r="S190" s="12"/>
      <c r="T190" s="14">
        <v>5</v>
      </c>
    </row>
    <row r="191" spans="1:20" x14ac:dyDescent="0.25">
      <c r="A191" s="342"/>
      <c r="B191" s="342"/>
      <c r="C191" s="43" t="s">
        <v>24</v>
      </c>
      <c r="D191" s="43">
        <v>2</v>
      </c>
      <c r="G191" s="16">
        <v>824</v>
      </c>
      <c r="H191" s="16" t="s">
        <v>131</v>
      </c>
      <c r="I191" s="345"/>
      <c r="J191" s="15" t="s">
        <v>276</v>
      </c>
      <c r="K191" s="1">
        <v>1.335</v>
      </c>
      <c r="P191" s="2">
        <v>3.5449999999999999</v>
      </c>
      <c r="Q191" s="2">
        <v>15</v>
      </c>
      <c r="R191" s="2">
        <f>51.64-14.41</f>
        <v>37.230000000000004</v>
      </c>
      <c r="T191" s="3">
        <v>5</v>
      </c>
    </row>
    <row r="192" spans="1:20" x14ac:dyDescent="0.25">
      <c r="A192" s="342"/>
      <c r="B192" s="342"/>
      <c r="C192" s="43" t="s">
        <v>24</v>
      </c>
      <c r="D192" s="43">
        <v>3</v>
      </c>
      <c r="G192" s="16">
        <v>824</v>
      </c>
      <c r="H192" s="16" t="s">
        <v>131</v>
      </c>
      <c r="I192" s="346"/>
      <c r="J192" s="15" t="s">
        <v>277</v>
      </c>
      <c r="K192" s="1">
        <v>1.45</v>
      </c>
      <c r="P192" s="2">
        <v>3.7869999999999999</v>
      </c>
      <c r="Q192" s="2">
        <v>15</v>
      </c>
      <c r="R192" s="2">
        <f>51.64-14.41</f>
        <v>37.230000000000004</v>
      </c>
      <c r="T192" s="3">
        <v>5</v>
      </c>
    </row>
    <row r="193" spans="1:22" x14ac:dyDescent="0.25">
      <c r="A193" s="342"/>
      <c r="B193" s="342"/>
      <c r="C193" s="43" t="s">
        <v>24</v>
      </c>
      <c r="D193" s="43">
        <v>4</v>
      </c>
      <c r="G193" s="16">
        <v>824</v>
      </c>
      <c r="H193" s="16" t="s">
        <v>131</v>
      </c>
      <c r="I193" s="65">
        <v>45278</v>
      </c>
      <c r="J193" s="41" t="s">
        <v>278</v>
      </c>
      <c r="K193" s="1">
        <v>0.63500000000000001</v>
      </c>
      <c r="P193" s="2">
        <v>1.7090000000000001</v>
      </c>
      <c r="Q193" s="2">
        <v>15</v>
      </c>
      <c r="R193" s="2">
        <v>43</v>
      </c>
      <c r="T193" s="3">
        <v>5</v>
      </c>
      <c r="V193" s="1" t="s">
        <v>279</v>
      </c>
    </row>
    <row r="194" spans="1:22" x14ac:dyDescent="0.25">
      <c r="A194" s="342"/>
      <c r="B194" s="342"/>
      <c r="C194" s="43" t="s">
        <v>24</v>
      </c>
      <c r="D194" s="43">
        <v>5</v>
      </c>
      <c r="G194" s="16">
        <v>824</v>
      </c>
      <c r="H194" s="16" t="s">
        <v>131</v>
      </c>
      <c r="I194" s="344">
        <v>45283</v>
      </c>
      <c r="J194" s="15" t="s">
        <v>280</v>
      </c>
      <c r="K194" s="1">
        <v>1.5009999999999999</v>
      </c>
      <c r="P194" s="2">
        <v>3.6080000000000001</v>
      </c>
      <c r="Q194" s="2">
        <v>15</v>
      </c>
      <c r="R194" s="2">
        <f>53.93-14.38</f>
        <v>39.549999999999997</v>
      </c>
      <c r="T194" s="3">
        <v>5</v>
      </c>
    </row>
    <row r="195" spans="1:22" s="4" customFormat="1" x14ac:dyDescent="0.25">
      <c r="A195" s="343"/>
      <c r="B195" s="343"/>
      <c r="C195" s="44" t="s">
        <v>24</v>
      </c>
      <c r="D195" s="44">
        <v>6</v>
      </c>
      <c r="G195" s="21">
        <v>824</v>
      </c>
      <c r="H195" s="21" t="s">
        <v>131</v>
      </c>
      <c r="I195" s="346"/>
      <c r="J195" s="71" t="s">
        <v>281</v>
      </c>
      <c r="K195" s="4">
        <v>1.514</v>
      </c>
      <c r="M195" s="6"/>
      <c r="N195" s="6"/>
      <c r="O195" s="6"/>
      <c r="P195" s="6">
        <v>3.5630000000000002</v>
      </c>
      <c r="Q195" s="6">
        <v>15</v>
      </c>
      <c r="R195" s="6">
        <f>56.35-14.3</f>
        <v>42.05</v>
      </c>
      <c r="S195" s="6"/>
      <c r="T195" s="7">
        <v>5</v>
      </c>
    </row>
    <row r="264" spans="10:10" x14ac:dyDescent="0.25">
      <c r="J264" s="41" t="s">
        <v>282</v>
      </c>
    </row>
    <row r="265" spans="10:10" x14ac:dyDescent="0.25">
      <c r="J265" s="41" t="s">
        <v>283</v>
      </c>
    </row>
    <row r="266" spans="10:10" x14ac:dyDescent="0.25">
      <c r="J266" s="41" t="s">
        <v>284</v>
      </c>
    </row>
    <row r="267" spans="10:10" x14ac:dyDescent="0.25">
      <c r="J267" s="41" t="s">
        <v>285</v>
      </c>
    </row>
    <row r="268" spans="10:10" x14ac:dyDescent="0.25">
      <c r="J268" s="41" t="s">
        <v>286</v>
      </c>
    </row>
    <row r="269" spans="10:10" x14ac:dyDescent="0.25">
      <c r="J269" s="41" t="s">
        <v>287</v>
      </c>
    </row>
    <row r="270" spans="10:10" x14ac:dyDescent="0.25">
      <c r="J270" s="41" t="s">
        <v>288</v>
      </c>
    </row>
    <row r="271" spans="10:10" x14ac:dyDescent="0.25">
      <c r="J271" s="41" t="s">
        <v>289</v>
      </c>
    </row>
    <row r="272" spans="10:10" x14ac:dyDescent="0.25">
      <c r="J272" s="41" t="s">
        <v>290</v>
      </c>
    </row>
    <row r="273" spans="10:10" x14ac:dyDescent="0.25">
      <c r="J273" s="41" t="s">
        <v>291</v>
      </c>
    </row>
    <row r="274" spans="10:10" x14ac:dyDescent="0.25">
      <c r="J274" s="41" t="s">
        <v>292</v>
      </c>
    </row>
    <row r="275" spans="10:10" x14ac:dyDescent="0.25">
      <c r="J275" s="41" t="s">
        <v>293</v>
      </c>
    </row>
    <row r="276" spans="10:10" x14ac:dyDescent="0.25">
      <c r="J276" s="41" t="s">
        <v>294</v>
      </c>
    </row>
    <row r="277" spans="10:10" x14ac:dyDescent="0.25">
      <c r="J277" s="41" t="s">
        <v>295</v>
      </c>
    </row>
    <row r="278" spans="10:10" x14ac:dyDescent="0.25">
      <c r="J278" s="41" t="s">
        <v>296</v>
      </c>
    </row>
    <row r="279" spans="10:10" x14ac:dyDescent="0.25">
      <c r="J279" s="41" t="s">
        <v>297</v>
      </c>
    </row>
    <row r="280" spans="10:10" x14ac:dyDescent="0.25">
      <c r="J280" s="41" t="s">
        <v>298</v>
      </c>
    </row>
    <row r="281" spans="10:10" x14ac:dyDescent="0.25">
      <c r="J281" s="41" t="s">
        <v>299</v>
      </c>
    </row>
    <row r="282" spans="10:10" x14ac:dyDescent="0.25">
      <c r="J282" s="41" t="s">
        <v>300</v>
      </c>
    </row>
    <row r="283" spans="10:10" x14ac:dyDescent="0.25">
      <c r="J283" s="41" t="s">
        <v>301</v>
      </c>
    </row>
    <row r="284" spans="10:10" x14ac:dyDescent="0.25">
      <c r="J284" s="41" t="s">
        <v>302</v>
      </c>
    </row>
    <row r="285" spans="10:10" x14ac:dyDescent="0.25">
      <c r="J285" s="41" t="s">
        <v>303</v>
      </c>
    </row>
    <row r="286" spans="10:10" x14ac:dyDescent="0.25">
      <c r="J286" s="41" t="s">
        <v>304</v>
      </c>
    </row>
    <row r="287" spans="10:10" x14ac:dyDescent="0.25">
      <c r="J287" s="41" t="s">
        <v>305</v>
      </c>
    </row>
  </sheetData>
  <mergeCells count="70">
    <mergeCell ref="B126:B143"/>
    <mergeCell ref="A126:A143"/>
    <mergeCell ref="B146:B153"/>
    <mergeCell ref="A146:A153"/>
    <mergeCell ref="B154:B177"/>
    <mergeCell ref="A154:A177"/>
    <mergeCell ref="A144:A145"/>
    <mergeCell ref="B144:B145"/>
    <mergeCell ref="I116:I117"/>
    <mergeCell ref="I112:I113"/>
    <mergeCell ref="I114:I115"/>
    <mergeCell ref="I144:I145"/>
    <mergeCell ref="I118:I120"/>
    <mergeCell ref="I126:I143"/>
    <mergeCell ref="I95:I105"/>
    <mergeCell ref="I106:I107"/>
    <mergeCell ref="I12:I20"/>
    <mergeCell ref="G2:G13"/>
    <mergeCell ref="I80:I91"/>
    <mergeCell ref="I77:I79"/>
    <mergeCell ref="I2:I11"/>
    <mergeCell ref="I68:I76"/>
    <mergeCell ref="I59:I67"/>
    <mergeCell ref="I52:I58"/>
    <mergeCell ref="I39:I46"/>
    <mergeCell ref="I34:I38"/>
    <mergeCell ref="I27:I33"/>
    <mergeCell ref="I21:I26"/>
    <mergeCell ref="A39:A46"/>
    <mergeCell ref="A47:A51"/>
    <mergeCell ref="B39:B46"/>
    <mergeCell ref="B2:B26"/>
    <mergeCell ref="A2:A26"/>
    <mergeCell ref="A27:A33"/>
    <mergeCell ref="B27:B33"/>
    <mergeCell ref="A34:A38"/>
    <mergeCell ref="B34:B38"/>
    <mergeCell ref="B52:B58"/>
    <mergeCell ref="A52:A58"/>
    <mergeCell ref="B59:B67"/>
    <mergeCell ref="A59:A67"/>
    <mergeCell ref="B47:B51"/>
    <mergeCell ref="A68:A79"/>
    <mergeCell ref="B68:B79"/>
    <mergeCell ref="B92:B94"/>
    <mergeCell ref="A92:A94"/>
    <mergeCell ref="A118:A125"/>
    <mergeCell ref="B118:B125"/>
    <mergeCell ref="A108:A115"/>
    <mergeCell ref="B108:B115"/>
    <mergeCell ref="A95:A107"/>
    <mergeCell ref="B95:B107"/>
    <mergeCell ref="A116:A117"/>
    <mergeCell ref="B116:B117"/>
    <mergeCell ref="A80:A91"/>
    <mergeCell ref="B80:B91"/>
    <mergeCell ref="A190:A195"/>
    <mergeCell ref="B190:B195"/>
    <mergeCell ref="I190:I192"/>
    <mergeCell ref="I194:I195"/>
    <mergeCell ref="I146:I148"/>
    <mergeCell ref="I150:I153"/>
    <mergeCell ref="I154:I164"/>
    <mergeCell ref="I165:I166"/>
    <mergeCell ref="I167:I176"/>
    <mergeCell ref="B178:B189"/>
    <mergeCell ref="A178:A189"/>
    <mergeCell ref="I178:I181"/>
    <mergeCell ref="I182:I185"/>
    <mergeCell ref="I186:I189"/>
  </mergeCells>
  <phoneticPr fontId="1" type="noConversion"/>
  <printOptions gridLines="1"/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FE7E-3216-43D2-9BE6-B3C59CA5610E}">
  <dimension ref="A1"/>
  <sheetViews>
    <sheetView topLeftCell="A105" workbookViewId="0">
      <selection activeCell="K155" sqref="A155:K15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0E1E-C993-4F69-9FF3-DE4A00C4E049}">
  <dimension ref="A1:EQ832"/>
  <sheetViews>
    <sheetView tabSelected="1" topLeftCell="J1" workbookViewId="0">
      <pane ySplit="1" topLeftCell="A17" activePane="bottomLeft" state="frozen"/>
      <selection pane="bottomLeft" activeCell="S330" sqref="S330"/>
    </sheetView>
  </sheetViews>
  <sheetFormatPr defaultColWidth="9.140625" defaultRowHeight="15.75" x14ac:dyDescent="0.25"/>
  <cols>
    <col min="1" max="1" width="11" style="136" bestFit="1" customWidth="1"/>
    <col min="2" max="2" width="9.140625" style="102"/>
    <col min="3" max="3" width="9.140625" style="135"/>
    <col min="4" max="4" width="12" style="160" customWidth="1"/>
    <col min="5" max="5" width="14.140625" style="135" hidden="1" customWidth="1"/>
    <col min="6" max="6" width="0.28515625" style="136" hidden="1" customWidth="1"/>
    <col min="7" max="7" width="20" style="136" customWidth="1"/>
    <col min="8" max="8" width="16.140625" style="136" bestFit="1" customWidth="1"/>
    <col min="9" max="9" width="12.140625" style="102" bestFit="1" customWidth="1"/>
    <col min="10" max="10" width="18.5703125" style="135" customWidth="1"/>
    <col min="11" max="11" width="19.42578125" style="160" hidden="1" customWidth="1"/>
    <col min="12" max="12" width="12.28515625" style="138" hidden="1" customWidth="1"/>
    <col min="13" max="14" width="16.85546875" style="139" customWidth="1"/>
    <col min="15" max="15" width="15.42578125" style="139" customWidth="1"/>
    <col min="16" max="16" width="9.140625" style="139" customWidth="1"/>
    <col min="17" max="17" width="21.28515625" style="161" customWidth="1"/>
    <col min="18" max="18" width="15.42578125" style="139" customWidth="1"/>
    <col min="19" max="19" width="15.5703125" style="139" customWidth="1"/>
    <col min="20" max="20" width="20.7109375" style="139" customWidth="1"/>
    <col min="21" max="21" width="12.85546875" style="139" customWidth="1"/>
    <col min="22" max="22" width="11.140625" style="139" customWidth="1"/>
    <col min="23" max="23" width="30.7109375" style="139" customWidth="1"/>
    <col min="24" max="24" width="10.28515625" style="139" bestFit="1" customWidth="1"/>
    <col min="25" max="16384" width="9.140625" style="139"/>
  </cols>
  <sheetData>
    <row r="1" spans="1:23" s="91" customFormat="1" ht="85.5" customHeight="1" thickBot="1" x14ac:dyDescent="0.3">
      <c r="A1" s="81" t="s">
        <v>0</v>
      </c>
      <c r="B1" s="82" t="s">
        <v>1</v>
      </c>
      <c r="C1" s="83" t="s">
        <v>2</v>
      </c>
      <c r="D1" s="82" t="s">
        <v>306</v>
      </c>
      <c r="E1" s="84" t="s">
        <v>4</v>
      </c>
      <c r="F1" s="81" t="s">
        <v>5</v>
      </c>
      <c r="G1" s="81" t="s">
        <v>307</v>
      </c>
      <c r="H1" s="81" t="s">
        <v>7</v>
      </c>
      <c r="I1" s="82" t="s">
        <v>8</v>
      </c>
      <c r="J1" s="84" t="s">
        <v>308</v>
      </c>
      <c r="K1" s="85" t="s">
        <v>10</v>
      </c>
      <c r="L1" s="86" t="s">
        <v>11</v>
      </c>
      <c r="M1" s="87" t="s">
        <v>12</v>
      </c>
      <c r="N1" s="87" t="s">
        <v>309</v>
      </c>
      <c r="O1" s="87" t="s">
        <v>13</v>
      </c>
      <c r="P1" s="88" t="s">
        <v>14</v>
      </c>
      <c r="Q1" s="89" t="s">
        <v>15</v>
      </c>
      <c r="R1" s="89" t="s">
        <v>16</v>
      </c>
      <c r="S1" s="89" t="s">
        <v>17</v>
      </c>
      <c r="T1" s="89" t="s">
        <v>18</v>
      </c>
      <c r="U1" s="90" t="s">
        <v>19</v>
      </c>
      <c r="V1" s="91" t="s">
        <v>310</v>
      </c>
      <c r="W1" s="91" t="s">
        <v>21</v>
      </c>
    </row>
    <row r="2" spans="1:23" s="100" customFormat="1" x14ac:dyDescent="0.25">
      <c r="A2" s="388" t="s">
        <v>100</v>
      </c>
      <c r="B2" s="385" t="s">
        <v>311</v>
      </c>
      <c r="C2" s="94" t="s">
        <v>24</v>
      </c>
      <c r="D2" s="93">
        <v>1</v>
      </c>
      <c r="E2" s="94"/>
      <c r="F2" s="92"/>
      <c r="G2" s="92">
        <v>824</v>
      </c>
      <c r="H2" s="92" t="s">
        <v>131</v>
      </c>
      <c r="I2" s="95">
        <v>45299</v>
      </c>
      <c r="J2" s="94" t="s">
        <v>312</v>
      </c>
      <c r="K2" s="93">
        <v>1.23</v>
      </c>
      <c r="L2" s="96"/>
      <c r="M2" s="97">
        <v>1.26</v>
      </c>
      <c r="N2" s="97"/>
      <c r="O2" s="97"/>
      <c r="P2" s="97"/>
      <c r="Q2" s="97">
        <v>3.238</v>
      </c>
      <c r="R2" s="97">
        <v>15</v>
      </c>
      <c r="S2" s="97">
        <f>57.27-14.46</f>
        <v>42.81</v>
      </c>
      <c r="T2" s="97"/>
      <c r="U2" s="98">
        <v>5</v>
      </c>
      <c r="V2" s="99">
        <f>M2*S2/U2</f>
        <v>10.788120000000001</v>
      </c>
    </row>
    <row r="3" spans="1:23" s="108" customFormat="1" x14ac:dyDescent="0.25">
      <c r="A3" s="389"/>
      <c r="B3" s="386"/>
      <c r="C3" s="103" t="s">
        <v>24</v>
      </c>
      <c r="D3" s="102">
        <v>2</v>
      </c>
      <c r="E3" s="103"/>
      <c r="F3" s="101"/>
      <c r="G3" s="101">
        <v>824</v>
      </c>
      <c r="H3" s="101" t="s">
        <v>131</v>
      </c>
      <c r="I3" s="104">
        <v>45299</v>
      </c>
      <c r="J3" s="103" t="s">
        <v>313</v>
      </c>
      <c r="K3" s="102">
        <v>1.319</v>
      </c>
      <c r="L3" s="105"/>
      <c r="M3" s="106">
        <v>1.31</v>
      </c>
      <c r="N3" s="106"/>
      <c r="O3" s="106"/>
      <c r="P3" s="106"/>
      <c r="Q3" s="106">
        <v>3.3239999999999998</v>
      </c>
      <c r="R3" s="106">
        <v>15</v>
      </c>
      <c r="S3" s="106">
        <f>57.86-14.45</f>
        <v>43.41</v>
      </c>
      <c r="T3" s="106"/>
      <c r="U3" s="107">
        <v>5</v>
      </c>
      <c r="V3" s="99">
        <f t="shared" ref="V3:V66" si="0">M3*S3/U3</f>
        <v>11.373419999999999</v>
      </c>
    </row>
    <row r="4" spans="1:23" s="108" customFormat="1" x14ac:dyDescent="0.25">
      <c r="A4" s="389"/>
      <c r="B4" s="386"/>
      <c r="C4" s="103" t="s">
        <v>24</v>
      </c>
      <c r="D4" s="102">
        <v>3</v>
      </c>
      <c r="E4" s="103"/>
      <c r="F4" s="101"/>
      <c r="G4" s="101">
        <v>824</v>
      </c>
      <c r="H4" s="101" t="s">
        <v>131</v>
      </c>
      <c r="I4" s="104">
        <v>45295</v>
      </c>
      <c r="J4" s="103" t="s">
        <v>314</v>
      </c>
      <c r="K4" s="102">
        <v>0.51700000000000002</v>
      </c>
      <c r="L4" s="105"/>
      <c r="M4" s="106">
        <v>0.57999999999999996</v>
      </c>
      <c r="N4" s="106"/>
      <c r="O4" s="106"/>
      <c r="P4" s="106"/>
      <c r="Q4" s="106">
        <v>1.351</v>
      </c>
      <c r="R4" s="106">
        <v>15</v>
      </c>
      <c r="S4" s="106">
        <f>54.31-14.33</f>
        <v>39.980000000000004</v>
      </c>
      <c r="T4" s="106"/>
      <c r="U4" s="107">
        <v>5</v>
      </c>
      <c r="V4" s="99">
        <f t="shared" si="0"/>
        <v>4.6376800000000005</v>
      </c>
    </row>
    <row r="5" spans="1:23" s="108" customFormat="1" x14ac:dyDescent="0.25">
      <c r="A5" s="389"/>
      <c r="B5" s="386"/>
      <c r="C5" s="103" t="s">
        <v>24</v>
      </c>
      <c r="D5" s="102">
        <v>4</v>
      </c>
      <c r="E5" s="103"/>
      <c r="F5" s="101"/>
      <c r="G5" s="101">
        <v>824</v>
      </c>
      <c r="H5" s="101" t="s">
        <v>131</v>
      </c>
      <c r="I5" s="104">
        <v>45299</v>
      </c>
      <c r="J5" s="103" t="s">
        <v>315</v>
      </c>
      <c r="K5" s="102">
        <v>0.9</v>
      </c>
      <c r="L5" s="105"/>
      <c r="M5" s="106">
        <v>0.94</v>
      </c>
      <c r="N5" s="106"/>
      <c r="O5" s="106"/>
      <c r="P5" s="106"/>
      <c r="Q5" s="106">
        <v>2.4809999999999999</v>
      </c>
      <c r="R5" s="106">
        <v>15</v>
      </c>
      <c r="S5" s="106">
        <f>57.66-14.48</f>
        <v>43.179999999999993</v>
      </c>
      <c r="T5" s="106"/>
      <c r="U5" s="107">
        <v>5</v>
      </c>
      <c r="V5" s="99">
        <f t="shared" si="0"/>
        <v>8.1178399999999975</v>
      </c>
    </row>
    <row r="6" spans="1:23" s="108" customFormat="1" x14ac:dyDescent="0.25">
      <c r="A6" s="389"/>
      <c r="B6" s="386"/>
      <c r="C6" s="103" t="s">
        <v>24</v>
      </c>
      <c r="D6" s="102">
        <v>5</v>
      </c>
      <c r="E6" s="103"/>
      <c r="F6" s="101"/>
      <c r="G6" s="101">
        <v>824</v>
      </c>
      <c r="H6" s="101" t="s">
        <v>131</v>
      </c>
      <c r="I6" s="104">
        <v>45299</v>
      </c>
      <c r="J6" s="103" t="s">
        <v>316</v>
      </c>
      <c r="K6" s="102">
        <v>1.369</v>
      </c>
      <c r="L6" s="105"/>
      <c r="M6" s="106">
        <v>1.34</v>
      </c>
      <c r="N6" s="106"/>
      <c r="O6" s="106"/>
      <c r="P6" s="106"/>
      <c r="Q6" s="106">
        <v>3.331</v>
      </c>
      <c r="R6" s="106">
        <v>15</v>
      </c>
      <c r="S6" s="106">
        <f>57.54-14.46</f>
        <v>43.08</v>
      </c>
      <c r="T6" s="106"/>
      <c r="U6" s="107">
        <v>5</v>
      </c>
      <c r="V6" s="99">
        <f t="shared" si="0"/>
        <v>11.545440000000001</v>
      </c>
    </row>
    <row r="7" spans="1:23" s="108" customFormat="1" x14ac:dyDescent="0.25">
      <c r="A7" s="389"/>
      <c r="B7" s="386"/>
      <c r="C7" s="103" t="s">
        <v>24</v>
      </c>
      <c r="D7" s="102">
        <v>6</v>
      </c>
      <c r="E7" s="103"/>
      <c r="F7" s="101"/>
      <c r="G7" s="101">
        <v>824</v>
      </c>
      <c r="H7" s="101" t="s">
        <v>131</v>
      </c>
      <c r="I7" s="104">
        <v>45295</v>
      </c>
      <c r="J7" s="103" t="s">
        <v>317</v>
      </c>
      <c r="K7" s="102">
        <v>0.73</v>
      </c>
      <c r="L7" s="105"/>
      <c r="M7" s="106">
        <v>0.54</v>
      </c>
      <c r="N7" s="106"/>
      <c r="O7" s="106"/>
      <c r="P7" s="106"/>
      <c r="Q7" s="106">
        <v>1.403</v>
      </c>
      <c r="R7" s="106">
        <v>15</v>
      </c>
      <c r="S7" s="106">
        <f>58.2-14.38</f>
        <v>43.82</v>
      </c>
      <c r="T7" s="106"/>
      <c r="U7" s="107">
        <v>5</v>
      </c>
      <c r="V7" s="99">
        <f t="shared" si="0"/>
        <v>4.7325600000000003</v>
      </c>
    </row>
    <row r="8" spans="1:23" s="108" customFormat="1" x14ac:dyDescent="0.25">
      <c r="A8" s="389"/>
      <c r="B8" s="386"/>
      <c r="C8" s="103" t="s">
        <v>24</v>
      </c>
      <c r="D8" s="102">
        <v>7</v>
      </c>
      <c r="E8" s="103"/>
      <c r="F8" s="101"/>
      <c r="G8" s="101">
        <v>824</v>
      </c>
      <c r="H8" s="101" t="s">
        <v>131</v>
      </c>
      <c r="I8" s="104">
        <v>45299</v>
      </c>
      <c r="J8" s="103" t="s">
        <v>318</v>
      </c>
      <c r="K8" s="102">
        <v>0.71399999999999997</v>
      </c>
      <c r="L8" s="105"/>
      <c r="M8" s="106">
        <v>0.96</v>
      </c>
      <c r="N8" s="106"/>
      <c r="O8" s="106"/>
      <c r="P8" s="106"/>
      <c r="Q8" s="106">
        <v>2.492</v>
      </c>
      <c r="R8" s="106">
        <v>15</v>
      </c>
      <c r="S8" s="106">
        <f>58.12-14.43</f>
        <v>43.69</v>
      </c>
      <c r="T8" s="106"/>
      <c r="U8" s="107">
        <v>5</v>
      </c>
      <c r="V8" s="99">
        <f t="shared" si="0"/>
        <v>8.3884799999999995</v>
      </c>
    </row>
    <row r="9" spans="1:23" s="108" customFormat="1" x14ac:dyDescent="0.25">
      <c r="A9" s="389"/>
      <c r="B9" s="386"/>
      <c r="C9" s="103" t="s">
        <v>24</v>
      </c>
      <c r="D9" s="102">
        <v>8</v>
      </c>
      <c r="E9" s="103"/>
      <c r="F9" s="101"/>
      <c r="G9" s="101">
        <v>824</v>
      </c>
      <c r="H9" s="101" t="s">
        <v>131</v>
      </c>
      <c r="I9" s="104">
        <v>45299</v>
      </c>
      <c r="J9" s="103" t="s">
        <v>319</v>
      </c>
      <c r="K9" s="102">
        <v>1.2989999999999999</v>
      </c>
      <c r="L9" s="105"/>
      <c r="M9" s="106">
        <v>1.24</v>
      </c>
      <c r="N9" s="106"/>
      <c r="O9" s="106"/>
      <c r="P9" s="106"/>
      <c r="Q9" s="106">
        <v>3.0179999999999998</v>
      </c>
      <c r="R9" s="106">
        <v>15</v>
      </c>
      <c r="S9" s="106">
        <f>57.87-14.44</f>
        <v>43.43</v>
      </c>
      <c r="T9" s="106"/>
      <c r="U9" s="107">
        <v>5</v>
      </c>
      <c r="V9" s="99">
        <f t="shared" si="0"/>
        <v>10.77064</v>
      </c>
    </row>
    <row r="10" spans="1:23" s="108" customFormat="1" x14ac:dyDescent="0.25">
      <c r="A10" s="389"/>
      <c r="B10" s="386"/>
      <c r="C10" s="103" t="s">
        <v>24</v>
      </c>
      <c r="D10" s="102">
        <v>9</v>
      </c>
      <c r="E10" s="103"/>
      <c r="F10" s="101"/>
      <c r="G10" s="101">
        <v>824</v>
      </c>
      <c r="H10" s="101" t="s">
        <v>131</v>
      </c>
      <c r="I10" s="104">
        <v>45299</v>
      </c>
      <c r="J10" s="103" t="s">
        <v>320</v>
      </c>
      <c r="K10" s="102">
        <v>1.369</v>
      </c>
      <c r="L10" s="105"/>
      <c r="M10" s="106">
        <v>1.71</v>
      </c>
      <c r="N10" s="106"/>
      <c r="O10" s="106"/>
      <c r="P10" s="106"/>
      <c r="Q10" s="106">
        <v>3.137</v>
      </c>
      <c r="R10" s="106">
        <v>15</v>
      </c>
      <c r="S10" s="106">
        <f>57.83-14.48</f>
        <v>43.349999999999994</v>
      </c>
      <c r="T10" s="106"/>
      <c r="U10" s="107">
        <v>5</v>
      </c>
      <c r="V10" s="99">
        <f t="shared" si="0"/>
        <v>14.825699999999998</v>
      </c>
    </row>
    <row r="11" spans="1:23" s="108" customFormat="1" x14ac:dyDescent="0.25">
      <c r="A11" s="389"/>
      <c r="B11" s="386"/>
      <c r="C11" s="103" t="s">
        <v>24</v>
      </c>
      <c r="D11" s="102">
        <v>10</v>
      </c>
      <c r="E11" s="103"/>
      <c r="F11" s="101"/>
      <c r="G11" s="101">
        <v>824</v>
      </c>
      <c r="H11" s="101" t="s">
        <v>131</v>
      </c>
      <c r="I11" s="104">
        <v>45299</v>
      </c>
      <c r="J11" s="103" t="s">
        <v>321</v>
      </c>
      <c r="K11" s="102">
        <v>1.1619999999999999</v>
      </c>
      <c r="L11" s="105"/>
      <c r="M11" s="106">
        <v>1.1399999999999999</v>
      </c>
      <c r="N11" s="106"/>
      <c r="O11" s="106"/>
      <c r="P11" s="106"/>
      <c r="Q11" s="106">
        <v>1.1579999999999999</v>
      </c>
      <c r="R11" s="106">
        <v>15</v>
      </c>
      <c r="S11" s="106">
        <f>58.28-37.46</f>
        <v>20.82</v>
      </c>
      <c r="T11" s="106"/>
      <c r="U11" s="107">
        <v>5</v>
      </c>
      <c r="V11" s="99">
        <f t="shared" si="0"/>
        <v>4.7469599999999996</v>
      </c>
    </row>
    <row r="12" spans="1:23" s="108" customFormat="1" x14ac:dyDescent="0.25">
      <c r="A12" s="389"/>
      <c r="B12" s="386"/>
      <c r="C12" s="103" t="s">
        <v>24</v>
      </c>
      <c r="D12" s="102">
        <v>11</v>
      </c>
      <c r="E12" s="103"/>
      <c r="F12" s="101"/>
      <c r="G12" s="101">
        <v>824</v>
      </c>
      <c r="H12" s="101" t="s">
        <v>131</v>
      </c>
      <c r="I12" s="104">
        <v>45299</v>
      </c>
      <c r="J12" s="103" t="s">
        <v>322</v>
      </c>
      <c r="K12" s="102">
        <v>1.153</v>
      </c>
      <c r="L12" s="105"/>
      <c r="M12" s="106">
        <v>1.21</v>
      </c>
      <c r="N12" s="106"/>
      <c r="O12" s="106"/>
      <c r="P12" s="106"/>
      <c r="Q12" s="106">
        <v>2.9209999999999998</v>
      </c>
      <c r="R12" s="106">
        <v>15</v>
      </c>
      <c r="S12" s="106">
        <f>57.92-14.44</f>
        <v>43.480000000000004</v>
      </c>
      <c r="T12" s="106"/>
      <c r="U12" s="107">
        <v>5</v>
      </c>
      <c r="V12" s="99">
        <f t="shared" si="0"/>
        <v>10.522160000000001</v>
      </c>
    </row>
    <row r="13" spans="1:23" s="108" customFormat="1" x14ac:dyDescent="0.25">
      <c r="A13" s="389"/>
      <c r="B13" s="386"/>
      <c r="C13" s="103" t="s">
        <v>24</v>
      </c>
      <c r="D13" s="102">
        <v>12</v>
      </c>
      <c r="E13" s="103"/>
      <c r="F13" s="101"/>
      <c r="G13" s="101">
        <v>824</v>
      </c>
      <c r="H13" s="101" t="s">
        <v>131</v>
      </c>
      <c r="I13" s="104">
        <v>45299</v>
      </c>
      <c r="J13" s="103" t="s">
        <v>323</v>
      </c>
      <c r="K13" s="102">
        <v>0.621</v>
      </c>
      <c r="L13" s="105"/>
      <c r="M13" s="106">
        <v>0.65</v>
      </c>
      <c r="N13" s="106"/>
      <c r="O13" s="106"/>
      <c r="P13" s="106"/>
      <c r="Q13" s="106">
        <v>1.579</v>
      </c>
      <c r="R13" s="106">
        <v>15</v>
      </c>
      <c r="S13" s="106">
        <f>59.33-14.55</f>
        <v>44.78</v>
      </c>
      <c r="T13" s="106"/>
      <c r="U13" s="107">
        <v>5</v>
      </c>
      <c r="V13" s="99">
        <f t="shared" si="0"/>
        <v>5.8214000000000006</v>
      </c>
    </row>
    <row r="14" spans="1:23" s="108" customFormat="1" x14ac:dyDescent="0.25">
      <c r="A14" s="389"/>
      <c r="B14" s="386"/>
      <c r="C14" s="103" t="s">
        <v>24</v>
      </c>
      <c r="D14" s="102">
        <v>13</v>
      </c>
      <c r="E14" s="103"/>
      <c r="F14" s="101"/>
      <c r="G14" s="101">
        <v>824</v>
      </c>
      <c r="H14" s="101" t="s">
        <v>131</v>
      </c>
      <c r="I14" s="104">
        <v>45299</v>
      </c>
      <c r="J14" s="103" t="s">
        <v>324</v>
      </c>
      <c r="K14" s="102">
        <v>1.3029999999999999</v>
      </c>
      <c r="L14" s="105"/>
      <c r="M14" s="106">
        <v>1.35</v>
      </c>
      <c r="N14" s="106"/>
      <c r="O14" s="106"/>
      <c r="P14" s="106"/>
      <c r="Q14" s="106">
        <v>3.1549999999999998</v>
      </c>
      <c r="R14" s="106">
        <v>15</v>
      </c>
      <c r="S14" s="106">
        <f>56.69-14.47</f>
        <v>42.22</v>
      </c>
      <c r="T14" s="106"/>
      <c r="U14" s="107">
        <v>5</v>
      </c>
      <c r="V14" s="99">
        <f t="shared" si="0"/>
        <v>11.3994</v>
      </c>
    </row>
    <row r="15" spans="1:23" s="108" customFormat="1" x14ac:dyDescent="0.25">
      <c r="A15" s="389"/>
      <c r="B15" s="386"/>
      <c r="C15" s="103" t="s">
        <v>24</v>
      </c>
      <c r="D15" s="102">
        <v>14</v>
      </c>
      <c r="E15" s="103"/>
      <c r="F15" s="101"/>
      <c r="G15" s="101">
        <v>824</v>
      </c>
      <c r="H15" s="101" t="s">
        <v>131</v>
      </c>
      <c r="I15" s="104">
        <v>45299</v>
      </c>
      <c r="J15" s="103" t="s">
        <v>325</v>
      </c>
      <c r="K15" s="102">
        <v>1.508</v>
      </c>
      <c r="L15" s="105"/>
      <c r="M15" s="106">
        <v>1.48</v>
      </c>
      <c r="N15" s="106"/>
      <c r="O15" s="106"/>
      <c r="P15" s="106"/>
      <c r="Q15" s="106">
        <v>3.5110000000000001</v>
      </c>
      <c r="R15" s="106">
        <v>15</v>
      </c>
      <c r="S15" s="106">
        <f>56.41-14.52</f>
        <v>41.89</v>
      </c>
      <c r="T15" s="106"/>
      <c r="U15" s="107">
        <v>5</v>
      </c>
      <c r="V15" s="99">
        <f t="shared" si="0"/>
        <v>12.39944</v>
      </c>
    </row>
    <row r="16" spans="1:23" s="108" customFormat="1" x14ac:dyDescent="0.25">
      <c r="A16" s="389"/>
      <c r="B16" s="386"/>
      <c r="C16" s="103" t="s">
        <v>24</v>
      </c>
      <c r="D16" s="102">
        <v>15</v>
      </c>
      <c r="E16" s="103"/>
      <c r="F16" s="101"/>
      <c r="G16" s="101">
        <v>824</v>
      </c>
      <c r="H16" s="101" t="s">
        <v>131</v>
      </c>
      <c r="I16" s="104">
        <v>45293</v>
      </c>
      <c r="J16" s="103" t="s">
        <v>326</v>
      </c>
      <c r="K16" s="102">
        <v>1.004</v>
      </c>
      <c r="L16" s="105"/>
      <c r="M16" s="106">
        <v>0.48</v>
      </c>
      <c r="N16" s="106"/>
      <c r="O16" s="106"/>
      <c r="P16" s="106"/>
      <c r="Q16" s="106">
        <v>1.117</v>
      </c>
      <c r="R16" s="106">
        <v>15</v>
      </c>
      <c r="S16" s="106">
        <f>58.02-14.37</f>
        <v>43.650000000000006</v>
      </c>
      <c r="T16" s="106"/>
      <c r="U16" s="107">
        <v>5</v>
      </c>
      <c r="V16" s="99">
        <f t="shared" si="0"/>
        <v>4.1904000000000003</v>
      </c>
    </row>
    <row r="17" spans="1:22" s="108" customFormat="1" x14ac:dyDescent="0.25">
      <c r="A17" s="389"/>
      <c r="B17" s="386"/>
      <c r="C17" s="103" t="s">
        <v>24</v>
      </c>
      <c r="D17" s="102">
        <v>16</v>
      </c>
      <c r="E17" s="103"/>
      <c r="F17" s="101"/>
      <c r="G17" s="101">
        <v>824</v>
      </c>
      <c r="H17" s="101" t="s">
        <v>131</v>
      </c>
      <c r="I17" s="104">
        <v>45299</v>
      </c>
      <c r="J17" s="103" t="s">
        <v>327</v>
      </c>
      <c r="K17" s="102">
        <v>0.91200000000000003</v>
      </c>
      <c r="L17" s="105"/>
      <c r="M17" s="106">
        <v>0.89</v>
      </c>
      <c r="N17" s="106"/>
      <c r="O17" s="106"/>
      <c r="P17" s="106"/>
      <c r="Q17" s="106">
        <v>2.5179999999999998</v>
      </c>
      <c r="R17" s="106">
        <v>15</v>
      </c>
      <c r="S17" s="106">
        <f>57.35-14.39</f>
        <v>42.96</v>
      </c>
      <c r="T17" s="106"/>
      <c r="U17" s="107">
        <v>5</v>
      </c>
      <c r="V17" s="99">
        <f t="shared" si="0"/>
        <v>7.6468800000000003</v>
      </c>
    </row>
    <row r="18" spans="1:22" s="108" customFormat="1" x14ac:dyDescent="0.25">
      <c r="A18" s="389"/>
      <c r="B18" s="386"/>
      <c r="C18" s="103" t="s">
        <v>24</v>
      </c>
      <c r="D18" s="102">
        <v>17</v>
      </c>
      <c r="E18" s="103"/>
      <c r="F18" s="101"/>
      <c r="G18" s="101">
        <v>824</v>
      </c>
      <c r="H18" s="101" t="s">
        <v>131</v>
      </c>
      <c r="I18" s="104">
        <v>45299</v>
      </c>
      <c r="J18" s="103" t="s">
        <v>328</v>
      </c>
      <c r="K18" s="102">
        <v>1.2230000000000001</v>
      </c>
      <c r="L18" s="105"/>
      <c r="M18" s="106">
        <v>1.22</v>
      </c>
      <c r="N18" s="106"/>
      <c r="O18" s="106"/>
      <c r="P18" s="106"/>
      <c r="Q18" s="106">
        <v>3.3130000000000002</v>
      </c>
      <c r="R18" s="106">
        <v>15</v>
      </c>
      <c r="S18" s="106">
        <f>57.41-14.43</f>
        <v>42.98</v>
      </c>
      <c r="T18" s="106"/>
      <c r="U18" s="107">
        <v>5</v>
      </c>
      <c r="V18" s="99">
        <f t="shared" si="0"/>
        <v>10.487119999999999</v>
      </c>
    </row>
    <row r="19" spans="1:22" s="108" customFormat="1" x14ac:dyDescent="0.25">
      <c r="A19" s="389"/>
      <c r="B19" s="386"/>
      <c r="C19" s="103" t="s">
        <v>24</v>
      </c>
      <c r="D19" s="102">
        <v>18</v>
      </c>
      <c r="E19" s="103"/>
      <c r="F19" s="101"/>
      <c r="G19" s="101">
        <v>824</v>
      </c>
      <c r="H19" s="101" t="s">
        <v>131</v>
      </c>
      <c r="I19" s="104">
        <v>45294</v>
      </c>
      <c r="J19" s="103" t="s">
        <v>329</v>
      </c>
      <c r="K19" s="102">
        <v>0.99299999999999999</v>
      </c>
      <c r="L19" s="105"/>
      <c r="M19" s="106">
        <v>0.46</v>
      </c>
      <c r="N19" s="106"/>
      <c r="O19" s="106"/>
      <c r="P19" s="106"/>
      <c r="Q19" s="106">
        <v>1.1140000000000001</v>
      </c>
      <c r="R19" s="106">
        <v>15</v>
      </c>
      <c r="S19" s="106">
        <f>57.99-14.3</f>
        <v>43.69</v>
      </c>
      <c r="T19" s="106"/>
      <c r="U19" s="107">
        <v>5</v>
      </c>
      <c r="V19" s="99">
        <f t="shared" si="0"/>
        <v>4.0194799999999997</v>
      </c>
    </row>
    <row r="20" spans="1:22" s="108" customFormat="1" x14ac:dyDescent="0.25">
      <c r="A20" s="389"/>
      <c r="B20" s="386"/>
      <c r="C20" s="103" t="s">
        <v>24</v>
      </c>
      <c r="D20" s="102">
        <v>19</v>
      </c>
      <c r="E20" s="103"/>
      <c r="F20" s="101"/>
      <c r="G20" s="101">
        <v>824</v>
      </c>
      <c r="H20" s="101" t="s">
        <v>131</v>
      </c>
      <c r="I20" s="104">
        <v>45298</v>
      </c>
      <c r="J20" s="103" t="s">
        <v>330</v>
      </c>
      <c r="K20" s="102">
        <v>0.85499999999999998</v>
      </c>
      <c r="L20" s="105"/>
      <c r="M20" s="106">
        <v>0.85</v>
      </c>
      <c r="N20" s="106"/>
      <c r="O20" s="106"/>
      <c r="P20" s="106"/>
      <c r="Q20" s="106">
        <v>1.446</v>
      </c>
      <c r="R20" s="106">
        <v>15</v>
      </c>
      <c r="S20" s="106">
        <f>55.32-27.71</f>
        <v>27.61</v>
      </c>
      <c r="T20" s="106"/>
      <c r="U20" s="107">
        <v>5</v>
      </c>
      <c r="V20" s="99">
        <f t="shared" si="0"/>
        <v>4.6936999999999998</v>
      </c>
    </row>
    <row r="21" spans="1:22" s="108" customFormat="1" x14ac:dyDescent="0.25">
      <c r="A21" s="389"/>
      <c r="B21" s="386"/>
      <c r="C21" s="103" t="s">
        <v>24</v>
      </c>
      <c r="D21" s="102">
        <v>20</v>
      </c>
      <c r="E21" s="103"/>
      <c r="F21" s="101"/>
      <c r="G21" s="101">
        <v>824</v>
      </c>
      <c r="H21" s="101" t="s">
        <v>131</v>
      </c>
      <c r="I21" s="104">
        <v>45299</v>
      </c>
      <c r="J21" s="103" t="s">
        <v>331</v>
      </c>
      <c r="K21" s="102">
        <v>1.3720000000000001</v>
      </c>
      <c r="L21" s="105"/>
      <c r="M21" s="106">
        <v>1.27</v>
      </c>
      <c r="N21" s="106"/>
      <c r="O21" s="106"/>
      <c r="P21" s="106"/>
      <c r="Q21" s="106">
        <v>3.141</v>
      </c>
      <c r="R21" s="106">
        <v>15</v>
      </c>
      <c r="S21" s="106">
        <f>57.32-14.43</f>
        <v>42.89</v>
      </c>
      <c r="T21" s="106"/>
      <c r="U21" s="107">
        <v>5</v>
      </c>
      <c r="V21" s="99">
        <f t="shared" si="0"/>
        <v>10.89406</v>
      </c>
    </row>
    <row r="22" spans="1:22" s="108" customFormat="1" x14ac:dyDescent="0.25">
      <c r="A22" s="389"/>
      <c r="B22" s="386"/>
      <c r="C22" s="103" t="s">
        <v>24</v>
      </c>
      <c r="D22" s="102">
        <v>21</v>
      </c>
      <c r="E22" s="103"/>
      <c r="F22" s="101"/>
      <c r="G22" s="101">
        <v>824</v>
      </c>
      <c r="H22" s="101" t="s">
        <v>131</v>
      </c>
      <c r="I22" s="104">
        <v>45299</v>
      </c>
      <c r="J22" s="103" t="s">
        <v>332</v>
      </c>
      <c r="K22" s="102">
        <v>1.3380000000000001</v>
      </c>
      <c r="L22" s="105"/>
      <c r="M22" s="106">
        <v>1.35</v>
      </c>
      <c r="N22" s="106"/>
      <c r="O22" s="106"/>
      <c r="P22" s="106"/>
      <c r="Q22" s="106">
        <v>3.2909999999999999</v>
      </c>
      <c r="R22" s="106">
        <v>15</v>
      </c>
      <c r="S22" s="106">
        <f>56.06-14.49</f>
        <v>41.57</v>
      </c>
      <c r="T22" s="106"/>
      <c r="U22" s="107">
        <v>5</v>
      </c>
      <c r="V22" s="99">
        <f t="shared" si="0"/>
        <v>11.2239</v>
      </c>
    </row>
    <row r="23" spans="1:22" s="108" customFormat="1" x14ac:dyDescent="0.25">
      <c r="A23" s="389"/>
      <c r="B23" s="386"/>
      <c r="C23" s="103" t="s">
        <v>24</v>
      </c>
      <c r="D23" s="102">
        <v>22</v>
      </c>
      <c r="E23" s="103"/>
      <c r="F23" s="101"/>
      <c r="G23" s="101">
        <v>824</v>
      </c>
      <c r="H23" s="101" t="s">
        <v>131</v>
      </c>
      <c r="I23" s="104">
        <v>45299</v>
      </c>
      <c r="J23" s="103" t="s">
        <v>333</v>
      </c>
      <c r="K23" s="102">
        <v>1.2809999999999999</v>
      </c>
      <c r="L23" s="105"/>
      <c r="M23" s="106">
        <v>1.31</v>
      </c>
      <c r="N23" s="106"/>
      <c r="O23" s="106"/>
      <c r="P23" s="106"/>
      <c r="Q23" s="106">
        <v>3.06</v>
      </c>
      <c r="R23" s="106">
        <v>15</v>
      </c>
      <c r="S23" s="106">
        <f>55.14-14.46</f>
        <v>40.68</v>
      </c>
      <c r="T23" s="106"/>
      <c r="U23" s="107">
        <v>5</v>
      </c>
      <c r="V23" s="99">
        <f t="shared" si="0"/>
        <v>10.658160000000001</v>
      </c>
    </row>
    <row r="24" spans="1:22" s="108" customFormat="1" x14ac:dyDescent="0.25">
      <c r="A24" s="389"/>
      <c r="B24" s="386"/>
      <c r="C24" s="103" t="s">
        <v>24</v>
      </c>
      <c r="D24" s="102">
        <v>23</v>
      </c>
      <c r="E24" s="103"/>
      <c r="F24" s="101"/>
      <c r="G24" s="101">
        <v>824</v>
      </c>
      <c r="H24" s="101" t="s">
        <v>131</v>
      </c>
      <c r="I24" s="104">
        <v>45299</v>
      </c>
      <c r="J24" s="103" t="s">
        <v>334</v>
      </c>
      <c r="K24" s="102">
        <v>1.2789999999999999</v>
      </c>
      <c r="L24" s="105"/>
      <c r="M24" s="106">
        <v>1.32</v>
      </c>
      <c r="N24" s="106"/>
      <c r="O24" s="106"/>
      <c r="P24" s="106"/>
      <c r="Q24" s="106">
        <v>3.081</v>
      </c>
      <c r="R24" s="106">
        <v>15</v>
      </c>
      <c r="S24" s="106">
        <f>55.93-14.39</f>
        <v>41.54</v>
      </c>
      <c r="T24" s="106"/>
      <c r="U24" s="107">
        <v>5</v>
      </c>
      <c r="V24" s="99">
        <f t="shared" si="0"/>
        <v>10.966559999999999</v>
      </c>
    </row>
    <row r="25" spans="1:22" s="118" customFormat="1" x14ac:dyDescent="0.25">
      <c r="A25" s="390"/>
      <c r="B25" s="387"/>
      <c r="C25" s="111" t="s">
        <v>24</v>
      </c>
      <c r="D25" s="112">
        <v>24</v>
      </c>
      <c r="E25" s="111"/>
      <c r="F25" s="113"/>
      <c r="G25" s="113">
        <v>824</v>
      </c>
      <c r="H25" s="113" t="s">
        <v>131</v>
      </c>
      <c r="I25" s="114">
        <v>45299</v>
      </c>
      <c r="J25" s="111" t="s">
        <v>335</v>
      </c>
      <c r="K25" s="112">
        <v>0.92900000000000005</v>
      </c>
      <c r="L25" s="115"/>
      <c r="M25" s="116">
        <v>0.87</v>
      </c>
      <c r="N25" s="116"/>
      <c r="O25" s="116"/>
      <c r="P25" s="116"/>
      <c r="Q25" s="116">
        <v>2.1800000000000002</v>
      </c>
      <c r="R25" s="116">
        <v>15</v>
      </c>
      <c r="S25" s="116">
        <f>57.37-14.5</f>
        <v>42.87</v>
      </c>
      <c r="T25" s="116"/>
      <c r="U25" s="117">
        <v>5</v>
      </c>
      <c r="V25" s="99">
        <f t="shared" si="0"/>
        <v>7.4593800000000003</v>
      </c>
    </row>
    <row r="26" spans="1:22" s="100" customFormat="1" x14ac:dyDescent="0.25">
      <c r="A26" s="388" t="s">
        <v>100</v>
      </c>
      <c r="B26" s="385" t="s">
        <v>336</v>
      </c>
      <c r="C26" s="94" t="s">
        <v>45</v>
      </c>
      <c r="D26" s="93">
        <v>1</v>
      </c>
      <c r="E26" s="94"/>
      <c r="F26" s="92"/>
      <c r="G26" s="92">
        <v>824</v>
      </c>
      <c r="H26" s="92" t="s">
        <v>131</v>
      </c>
      <c r="I26" s="95">
        <v>45311</v>
      </c>
      <c r="J26" s="94" t="s">
        <v>337</v>
      </c>
      <c r="K26" s="93">
        <v>1.58</v>
      </c>
      <c r="L26" s="96"/>
      <c r="M26" s="97">
        <v>1.5</v>
      </c>
      <c r="N26" s="97"/>
      <c r="O26" s="97"/>
      <c r="P26" s="97"/>
      <c r="Q26" s="97">
        <v>3.7909999999999999</v>
      </c>
      <c r="R26" s="97">
        <v>15</v>
      </c>
      <c r="S26" s="97">
        <f>56.46-14.34</f>
        <v>42.120000000000005</v>
      </c>
      <c r="T26" s="97"/>
      <c r="U26" s="98">
        <v>5</v>
      </c>
      <c r="V26" s="99">
        <f t="shared" si="0"/>
        <v>12.636000000000001</v>
      </c>
    </row>
    <row r="27" spans="1:22" s="108" customFormat="1" x14ac:dyDescent="0.25">
      <c r="A27" s="389"/>
      <c r="B27" s="386"/>
      <c r="C27" s="103" t="s">
        <v>45</v>
      </c>
      <c r="D27" s="102">
        <v>2</v>
      </c>
      <c r="E27" s="103"/>
      <c r="F27" s="101"/>
      <c r="G27" s="101">
        <v>824</v>
      </c>
      <c r="H27" s="101" t="s">
        <v>131</v>
      </c>
      <c r="I27" s="104">
        <v>45311</v>
      </c>
      <c r="J27" s="103" t="s">
        <v>338</v>
      </c>
      <c r="K27" s="102">
        <v>1.72</v>
      </c>
      <c r="L27" s="105"/>
      <c r="M27" s="106">
        <v>1.83</v>
      </c>
      <c r="N27" s="106"/>
      <c r="O27" s="106"/>
      <c r="P27" s="106"/>
      <c r="Q27" s="106">
        <v>4.944</v>
      </c>
      <c r="R27" s="106">
        <v>15</v>
      </c>
      <c r="S27" s="106">
        <f>61.84-14.47</f>
        <v>47.370000000000005</v>
      </c>
      <c r="T27" s="106"/>
      <c r="U27" s="107">
        <v>5</v>
      </c>
      <c r="V27" s="99">
        <f t="shared" si="0"/>
        <v>17.337420000000002</v>
      </c>
    </row>
    <row r="28" spans="1:22" s="108" customFormat="1" x14ac:dyDescent="0.25">
      <c r="A28" s="389"/>
      <c r="B28" s="386"/>
      <c r="C28" s="103" t="s">
        <v>45</v>
      </c>
      <c r="D28" s="102">
        <v>3</v>
      </c>
      <c r="E28" s="103"/>
      <c r="F28" s="101"/>
      <c r="G28" s="101">
        <v>824</v>
      </c>
      <c r="H28" s="101" t="s">
        <v>131</v>
      </c>
      <c r="I28" s="104">
        <v>45316</v>
      </c>
      <c r="J28" s="103" t="s">
        <v>339</v>
      </c>
      <c r="K28" s="102">
        <v>1.34</v>
      </c>
      <c r="L28" s="105"/>
      <c r="M28" s="106">
        <v>1.23</v>
      </c>
      <c r="N28" s="106"/>
      <c r="O28" s="106"/>
      <c r="P28" s="106"/>
      <c r="Q28" s="106">
        <v>3.2589999999999999</v>
      </c>
      <c r="R28" s="106">
        <v>15</v>
      </c>
      <c r="S28" s="106">
        <f>56.03-14.39</f>
        <v>41.64</v>
      </c>
      <c r="T28" s="106"/>
      <c r="U28" s="107">
        <v>5</v>
      </c>
      <c r="V28" s="99">
        <f t="shared" si="0"/>
        <v>10.24344</v>
      </c>
    </row>
    <row r="29" spans="1:22" s="118" customFormat="1" x14ac:dyDescent="0.25">
      <c r="A29" s="390"/>
      <c r="B29" s="387"/>
      <c r="C29" s="111" t="s">
        <v>45</v>
      </c>
      <c r="D29" s="112">
        <v>4</v>
      </c>
      <c r="E29" s="111"/>
      <c r="F29" s="113"/>
      <c r="G29" s="113">
        <v>824</v>
      </c>
      <c r="H29" s="113" t="s">
        <v>131</v>
      </c>
      <c r="I29" s="114">
        <v>45327</v>
      </c>
      <c r="J29" s="111" t="s">
        <v>340</v>
      </c>
      <c r="K29" s="112">
        <v>1.54</v>
      </c>
      <c r="L29" s="115"/>
      <c r="M29" s="116">
        <v>1.48</v>
      </c>
      <c r="N29" s="116"/>
      <c r="O29" s="116"/>
      <c r="P29" s="116"/>
      <c r="Q29" s="116">
        <v>3.0019999999999998</v>
      </c>
      <c r="R29" s="116">
        <v>15</v>
      </c>
      <c r="S29" s="116">
        <v>33.47</v>
      </c>
      <c r="T29" s="116"/>
      <c r="U29" s="117">
        <v>5</v>
      </c>
      <c r="V29" s="99">
        <f t="shared" si="0"/>
        <v>9.907119999999999</v>
      </c>
    </row>
    <row r="30" spans="1:22" s="100" customFormat="1" x14ac:dyDescent="0.25">
      <c r="A30" s="388" t="s">
        <v>100</v>
      </c>
      <c r="B30" s="385" t="s">
        <v>341</v>
      </c>
      <c r="C30" s="94" t="s">
        <v>24</v>
      </c>
      <c r="D30" s="93">
        <v>1</v>
      </c>
      <c r="E30" s="94"/>
      <c r="F30" s="92"/>
      <c r="G30" s="92">
        <v>824</v>
      </c>
      <c r="H30" s="92" t="s">
        <v>131</v>
      </c>
      <c r="I30" s="95">
        <v>45330</v>
      </c>
      <c r="J30" s="94" t="s">
        <v>342</v>
      </c>
      <c r="K30" s="93">
        <v>1.905</v>
      </c>
      <c r="L30" s="96"/>
      <c r="M30" s="97">
        <v>1.62</v>
      </c>
      <c r="N30" s="97"/>
      <c r="O30" s="97"/>
      <c r="P30" s="97"/>
      <c r="Q30" s="97">
        <v>3.9460000000000002</v>
      </c>
      <c r="R30" s="97">
        <v>15</v>
      </c>
      <c r="S30" s="97">
        <v>42.2</v>
      </c>
      <c r="T30" s="97"/>
      <c r="U30" s="98">
        <v>5</v>
      </c>
      <c r="V30" s="99">
        <f t="shared" si="0"/>
        <v>13.672800000000001</v>
      </c>
    </row>
    <row r="31" spans="1:22" s="108" customFormat="1" x14ac:dyDescent="0.25">
      <c r="A31" s="389"/>
      <c r="B31" s="386"/>
      <c r="C31" s="103" t="s">
        <v>24</v>
      </c>
      <c r="D31" s="102">
        <v>2</v>
      </c>
      <c r="E31" s="103"/>
      <c r="F31" s="101"/>
      <c r="G31" s="101">
        <v>824</v>
      </c>
      <c r="H31" s="101" t="s">
        <v>131</v>
      </c>
      <c r="I31" s="104">
        <v>45330</v>
      </c>
      <c r="J31" s="103" t="s">
        <v>343</v>
      </c>
      <c r="K31" s="102">
        <v>1.7072499999999999</v>
      </c>
      <c r="L31" s="105"/>
      <c r="M31" s="106">
        <v>1.43</v>
      </c>
      <c r="N31" s="106"/>
      <c r="O31" s="106"/>
      <c r="P31" s="106"/>
      <c r="Q31" s="106">
        <v>3.5369999999999999</v>
      </c>
      <c r="R31" s="106">
        <v>15</v>
      </c>
      <c r="S31" s="106">
        <v>41.7</v>
      </c>
      <c r="T31" s="106"/>
      <c r="U31" s="107">
        <v>5</v>
      </c>
      <c r="V31" s="99">
        <f t="shared" si="0"/>
        <v>11.9262</v>
      </c>
    </row>
    <row r="32" spans="1:22" s="108" customFormat="1" x14ac:dyDescent="0.25">
      <c r="A32" s="389"/>
      <c r="B32" s="386"/>
      <c r="C32" s="103" t="s">
        <v>24</v>
      </c>
      <c r="D32" s="102">
        <v>3</v>
      </c>
      <c r="E32" s="103"/>
      <c r="F32" s="101"/>
      <c r="G32" s="101">
        <v>824</v>
      </c>
      <c r="H32" s="101" t="s">
        <v>131</v>
      </c>
      <c r="I32" s="104">
        <v>45330</v>
      </c>
      <c r="J32" s="103" t="s">
        <v>344</v>
      </c>
      <c r="K32" s="102">
        <v>1.48655</v>
      </c>
      <c r="L32" s="105"/>
      <c r="M32" s="106">
        <v>1.22</v>
      </c>
      <c r="N32" s="106"/>
      <c r="O32" s="106"/>
      <c r="P32" s="106"/>
      <c r="Q32" s="106">
        <v>3.0910000000000002</v>
      </c>
      <c r="R32" s="106">
        <v>15</v>
      </c>
      <c r="S32" s="106">
        <v>43</v>
      </c>
      <c r="T32" s="106"/>
      <c r="U32" s="107">
        <v>5</v>
      </c>
      <c r="V32" s="99">
        <f t="shared" si="0"/>
        <v>10.492000000000001</v>
      </c>
    </row>
    <row r="33" spans="1:22" s="108" customFormat="1" x14ac:dyDescent="0.25">
      <c r="A33" s="389"/>
      <c r="B33" s="386"/>
      <c r="C33" s="103" t="s">
        <v>24</v>
      </c>
      <c r="D33" s="102">
        <v>4</v>
      </c>
      <c r="E33" s="103"/>
      <c r="F33" s="101"/>
      <c r="G33" s="101">
        <v>824</v>
      </c>
      <c r="H33" s="101" t="s">
        <v>131</v>
      </c>
      <c r="I33" s="104">
        <v>45330</v>
      </c>
      <c r="J33" s="103" t="s">
        <v>345</v>
      </c>
      <c r="K33" s="102">
        <v>1.33155</v>
      </c>
      <c r="L33" s="105"/>
      <c r="M33" s="106">
        <v>1.07</v>
      </c>
      <c r="N33" s="106"/>
      <c r="O33" s="106"/>
      <c r="P33" s="106"/>
      <c r="Q33" s="106">
        <v>2.6520000000000001</v>
      </c>
      <c r="R33" s="106">
        <v>15</v>
      </c>
      <c r="S33" s="106">
        <v>41.7</v>
      </c>
      <c r="T33" s="106"/>
      <c r="U33" s="107">
        <v>5</v>
      </c>
      <c r="V33" s="99">
        <f t="shared" si="0"/>
        <v>8.9238000000000017</v>
      </c>
    </row>
    <row r="34" spans="1:22" s="108" customFormat="1" x14ac:dyDescent="0.25">
      <c r="A34" s="389"/>
      <c r="B34" s="386"/>
      <c r="C34" s="103" t="s">
        <v>24</v>
      </c>
      <c r="D34" s="102">
        <v>5</v>
      </c>
      <c r="E34" s="103"/>
      <c r="F34" s="101"/>
      <c r="G34" s="101">
        <v>824</v>
      </c>
      <c r="H34" s="101" t="s">
        <v>131</v>
      </c>
      <c r="I34" s="104">
        <v>45330</v>
      </c>
      <c r="J34" s="103" t="s">
        <v>346</v>
      </c>
      <c r="K34" s="102">
        <v>1.4259999999999999</v>
      </c>
      <c r="L34" s="105"/>
      <c r="M34" s="106">
        <v>1.1499999999999999</v>
      </c>
      <c r="N34" s="106"/>
      <c r="O34" s="106"/>
      <c r="P34" s="106"/>
      <c r="Q34" s="106">
        <v>2.1880000000000002</v>
      </c>
      <c r="R34" s="106">
        <v>15</v>
      </c>
      <c r="S34" s="106">
        <v>30.7</v>
      </c>
      <c r="T34" s="106"/>
      <c r="U34" s="107">
        <v>5</v>
      </c>
      <c r="V34" s="99">
        <f t="shared" si="0"/>
        <v>7.0609999999999999</v>
      </c>
    </row>
    <row r="35" spans="1:22" s="108" customFormat="1" x14ac:dyDescent="0.25">
      <c r="A35" s="389"/>
      <c r="B35" s="386"/>
      <c r="C35" s="103" t="s">
        <v>24</v>
      </c>
      <c r="D35" s="102">
        <v>6</v>
      </c>
      <c r="E35" s="103"/>
      <c r="F35" s="101"/>
      <c r="G35" s="101">
        <v>824</v>
      </c>
      <c r="H35" s="101" t="s">
        <v>131</v>
      </c>
      <c r="I35" s="104">
        <v>45330</v>
      </c>
      <c r="J35" s="103" t="s">
        <v>347</v>
      </c>
      <c r="K35" s="102">
        <v>1.8997999999999999</v>
      </c>
      <c r="L35" s="105"/>
      <c r="M35" s="106">
        <v>1.55</v>
      </c>
      <c r="N35" s="106"/>
      <c r="O35" s="106"/>
      <c r="P35" s="106"/>
      <c r="Q35" s="106">
        <v>3.6749999999999998</v>
      </c>
      <c r="R35" s="106">
        <v>15</v>
      </c>
      <c r="S35" s="106">
        <v>41.4</v>
      </c>
      <c r="T35" s="106"/>
      <c r="U35" s="107">
        <v>5</v>
      </c>
      <c r="V35" s="99">
        <f t="shared" si="0"/>
        <v>12.834</v>
      </c>
    </row>
    <row r="36" spans="1:22" s="108" customFormat="1" x14ac:dyDescent="0.25">
      <c r="A36" s="389"/>
      <c r="B36" s="386"/>
      <c r="C36" s="103" t="s">
        <v>24</v>
      </c>
      <c r="D36" s="102">
        <v>7</v>
      </c>
      <c r="E36" s="103"/>
      <c r="F36" s="101"/>
      <c r="G36" s="101">
        <v>824</v>
      </c>
      <c r="H36" s="101" t="s">
        <v>131</v>
      </c>
      <c r="I36" s="104">
        <v>45330</v>
      </c>
      <c r="J36" s="103" t="s">
        <v>348</v>
      </c>
      <c r="K36" s="102" t="s">
        <v>349</v>
      </c>
      <c r="L36" s="105"/>
      <c r="M36" s="106">
        <v>0.63</v>
      </c>
      <c r="N36" s="106"/>
      <c r="O36" s="106"/>
      <c r="P36" s="106"/>
      <c r="Q36" s="106">
        <v>1.8540000000000001</v>
      </c>
      <c r="R36" s="106">
        <v>15</v>
      </c>
      <c r="S36" s="106">
        <v>42.6</v>
      </c>
      <c r="T36" s="106"/>
      <c r="U36" s="107">
        <v>5</v>
      </c>
      <c r="V36" s="99">
        <f t="shared" si="0"/>
        <v>5.3676000000000004</v>
      </c>
    </row>
    <row r="37" spans="1:22" s="108" customFormat="1" x14ac:dyDescent="0.25">
      <c r="A37" s="389"/>
      <c r="B37" s="386"/>
      <c r="C37" s="103" t="s">
        <v>24</v>
      </c>
      <c r="D37" s="102">
        <v>8</v>
      </c>
      <c r="E37" s="103"/>
      <c r="F37" s="101"/>
      <c r="G37" s="101">
        <v>824</v>
      </c>
      <c r="H37" s="101" t="s">
        <v>131</v>
      </c>
      <c r="I37" s="104">
        <v>45330</v>
      </c>
      <c r="J37" s="103" t="s">
        <v>350</v>
      </c>
      <c r="K37" s="102" t="s">
        <v>349</v>
      </c>
      <c r="L37" s="105"/>
      <c r="M37" s="106">
        <v>0.5</v>
      </c>
      <c r="N37" s="106"/>
      <c r="O37" s="106"/>
      <c r="P37" s="106"/>
      <c r="Q37" s="106">
        <v>1.542</v>
      </c>
      <c r="R37" s="106">
        <v>15</v>
      </c>
      <c r="S37" s="106">
        <v>40.799999999999997</v>
      </c>
      <c r="T37" s="106"/>
      <c r="U37" s="107">
        <v>5</v>
      </c>
      <c r="V37" s="99">
        <f t="shared" si="0"/>
        <v>4.08</v>
      </c>
    </row>
    <row r="38" spans="1:22" s="108" customFormat="1" x14ac:dyDescent="0.25">
      <c r="A38" s="389"/>
      <c r="B38" s="386"/>
      <c r="C38" s="103" t="s">
        <v>24</v>
      </c>
      <c r="D38" s="102">
        <v>9</v>
      </c>
      <c r="E38" s="103"/>
      <c r="F38" s="101"/>
      <c r="G38" s="101">
        <v>824</v>
      </c>
      <c r="H38" s="101" t="s">
        <v>131</v>
      </c>
      <c r="I38" s="104">
        <v>45330</v>
      </c>
      <c r="J38" s="103" t="s">
        <v>351</v>
      </c>
      <c r="K38" s="102">
        <v>1.03705</v>
      </c>
      <c r="L38" s="105"/>
      <c r="M38" s="106">
        <v>0.78</v>
      </c>
      <c r="N38" s="106"/>
      <c r="O38" s="106"/>
      <c r="P38" s="106"/>
      <c r="Q38" s="106">
        <v>2.169</v>
      </c>
      <c r="R38" s="106">
        <v>15</v>
      </c>
      <c r="S38" s="106">
        <v>44.2</v>
      </c>
      <c r="T38" s="106"/>
      <c r="U38" s="107">
        <v>5</v>
      </c>
      <c r="V38" s="99">
        <f t="shared" si="0"/>
        <v>6.8952000000000009</v>
      </c>
    </row>
    <row r="39" spans="1:22" s="108" customFormat="1" x14ac:dyDescent="0.25">
      <c r="A39" s="389"/>
      <c r="B39" s="386"/>
      <c r="C39" s="103" t="s">
        <v>24</v>
      </c>
      <c r="D39" s="102">
        <v>10</v>
      </c>
      <c r="E39" s="103"/>
      <c r="F39" s="101"/>
      <c r="G39" s="101">
        <v>824</v>
      </c>
      <c r="H39" s="101" t="s">
        <v>131</v>
      </c>
      <c r="I39" s="104">
        <v>45330</v>
      </c>
      <c r="J39" s="103" t="s">
        <v>352</v>
      </c>
      <c r="K39" s="102">
        <v>0.88554999999999995</v>
      </c>
      <c r="L39" s="105"/>
      <c r="M39" s="106">
        <v>0.61</v>
      </c>
      <c r="N39" s="106"/>
      <c r="O39" s="106"/>
      <c r="P39" s="106"/>
      <c r="Q39" s="106">
        <v>1.7929999999999999</v>
      </c>
      <c r="R39" s="106">
        <v>15</v>
      </c>
      <c r="S39" s="106">
        <v>43.8</v>
      </c>
      <c r="T39" s="106"/>
      <c r="U39" s="107">
        <v>5</v>
      </c>
      <c r="V39" s="99">
        <f t="shared" si="0"/>
        <v>5.3435999999999995</v>
      </c>
    </row>
    <row r="40" spans="1:22" s="108" customFormat="1" x14ac:dyDescent="0.25">
      <c r="A40" s="389"/>
      <c r="B40" s="386"/>
      <c r="C40" s="103" t="s">
        <v>24</v>
      </c>
      <c r="D40" s="102">
        <v>11</v>
      </c>
      <c r="E40" s="103"/>
      <c r="F40" s="101"/>
      <c r="G40" s="101">
        <v>824</v>
      </c>
      <c r="H40" s="101" t="s">
        <v>131</v>
      </c>
      <c r="I40" s="104">
        <v>45330</v>
      </c>
      <c r="J40" s="103" t="s">
        <v>353</v>
      </c>
      <c r="K40" s="102" t="s">
        <v>349</v>
      </c>
      <c r="L40" s="105"/>
      <c r="M40" s="106">
        <v>0.34</v>
      </c>
      <c r="N40" s="106"/>
      <c r="O40" s="106"/>
      <c r="P40" s="106"/>
      <c r="Q40" s="106">
        <v>1.056</v>
      </c>
      <c r="R40" s="106">
        <v>15</v>
      </c>
      <c r="S40" s="106">
        <v>39.9</v>
      </c>
      <c r="T40" s="106"/>
      <c r="U40" s="107">
        <v>5</v>
      </c>
      <c r="V40" s="99">
        <f t="shared" si="0"/>
        <v>2.7132000000000001</v>
      </c>
    </row>
    <row r="41" spans="1:22" s="108" customFormat="1" x14ac:dyDescent="0.25">
      <c r="A41" s="389"/>
      <c r="B41" s="386"/>
      <c r="C41" s="103" t="s">
        <v>24</v>
      </c>
      <c r="D41" s="102">
        <v>12</v>
      </c>
      <c r="E41" s="103"/>
      <c r="F41" s="101"/>
      <c r="G41" s="101">
        <v>824</v>
      </c>
      <c r="H41" s="101" t="s">
        <v>131</v>
      </c>
      <c r="I41" s="104">
        <v>45330</v>
      </c>
      <c r="J41" s="103" t="s">
        <v>354</v>
      </c>
      <c r="K41" s="102" t="s">
        <v>349</v>
      </c>
      <c r="L41" s="105"/>
      <c r="M41" s="106">
        <v>0.34</v>
      </c>
      <c r="N41" s="106"/>
      <c r="O41" s="106"/>
      <c r="P41" s="106"/>
      <c r="Q41" s="106">
        <v>1.204</v>
      </c>
      <c r="R41" s="106">
        <v>15</v>
      </c>
      <c r="S41" s="106">
        <v>45.1</v>
      </c>
      <c r="T41" s="106"/>
      <c r="U41" s="107">
        <v>5</v>
      </c>
      <c r="V41" s="99">
        <f t="shared" si="0"/>
        <v>3.0668000000000002</v>
      </c>
    </row>
    <row r="42" spans="1:22" s="108" customFormat="1" x14ac:dyDescent="0.25">
      <c r="A42" s="389"/>
      <c r="B42" s="386"/>
      <c r="C42" s="103" t="s">
        <v>24</v>
      </c>
      <c r="D42" s="102">
        <v>13</v>
      </c>
      <c r="E42" s="103"/>
      <c r="F42" s="101"/>
      <c r="G42" s="101">
        <v>824</v>
      </c>
      <c r="H42" s="101" t="s">
        <v>131</v>
      </c>
      <c r="I42" s="104">
        <v>45330</v>
      </c>
      <c r="J42" s="103" t="s">
        <v>355</v>
      </c>
      <c r="K42" s="102">
        <v>0.77544999999999997</v>
      </c>
      <c r="L42" s="105"/>
      <c r="M42" s="106">
        <v>0.6</v>
      </c>
      <c r="N42" s="106"/>
      <c r="O42" s="106"/>
      <c r="P42" s="106"/>
      <c r="Q42" s="106">
        <v>1.681</v>
      </c>
      <c r="R42" s="106">
        <v>15</v>
      </c>
      <c r="S42" s="106">
        <v>43</v>
      </c>
      <c r="T42" s="106"/>
      <c r="U42" s="107">
        <v>5</v>
      </c>
      <c r="V42" s="99">
        <f t="shared" si="0"/>
        <v>5.16</v>
      </c>
    </row>
    <row r="43" spans="1:22" s="108" customFormat="1" x14ac:dyDescent="0.25">
      <c r="A43" s="389"/>
      <c r="B43" s="386"/>
      <c r="C43" s="103" t="s">
        <v>24</v>
      </c>
      <c r="D43" s="102">
        <v>14</v>
      </c>
      <c r="E43" s="103"/>
      <c r="F43" s="101"/>
      <c r="G43" s="101">
        <v>824</v>
      </c>
      <c r="H43" s="101" t="s">
        <v>131</v>
      </c>
      <c r="I43" s="104">
        <v>45330</v>
      </c>
      <c r="J43" s="103" t="s">
        <v>356</v>
      </c>
      <c r="K43" s="102">
        <v>2.0484</v>
      </c>
      <c r="L43" s="105"/>
      <c r="M43" s="106">
        <v>1.64</v>
      </c>
      <c r="N43" s="106"/>
      <c r="O43" s="106"/>
      <c r="P43" s="106"/>
      <c r="Q43" s="106">
        <v>4.2590000000000003</v>
      </c>
      <c r="R43" s="106">
        <v>15</v>
      </c>
      <c r="S43" s="106">
        <v>42.9</v>
      </c>
      <c r="T43" s="106"/>
      <c r="U43" s="107">
        <v>5</v>
      </c>
      <c r="V43" s="99">
        <f t="shared" si="0"/>
        <v>14.071199999999999</v>
      </c>
    </row>
    <row r="44" spans="1:22" s="108" customFormat="1" x14ac:dyDescent="0.25">
      <c r="A44" s="389"/>
      <c r="B44" s="386"/>
      <c r="C44" s="103" t="s">
        <v>24</v>
      </c>
      <c r="D44" s="102">
        <v>15</v>
      </c>
      <c r="E44" s="103"/>
      <c r="F44" s="101"/>
      <c r="G44" s="101">
        <v>824</v>
      </c>
      <c r="H44" s="101" t="s">
        <v>131</v>
      </c>
      <c r="I44" s="104">
        <v>45330</v>
      </c>
      <c r="J44" s="103" t="s">
        <v>357</v>
      </c>
      <c r="K44" s="102">
        <v>1.8992500000000001</v>
      </c>
      <c r="L44" s="105"/>
      <c r="M44" s="106">
        <v>1.52</v>
      </c>
      <c r="N44" s="106"/>
      <c r="O44" s="106"/>
      <c r="P44" s="106"/>
      <c r="Q44" s="106">
        <v>3.84</v>
      </c>
      <c r="R44" s="106">
        <v>15</v>
      </c>
      <c r="S44" s="106">
        <v>42.8</v>
      </c>
      <c r="T44" s="106"/>
      <c r="U44" s="107">
        <v>5</v>
      </c>
      <c r="V44" s="99">
        <f t="shared" si="0"/>
        <v>13.011199999999999</v>
      </c>
    </row>
    <row r="45" spans="1:22" s="108" customFormat="1" x14ac:dyDescent="0.25">
      <c r="A45" s="389"/>
      <c r="B45" s="386"/>
      <c r="C45" s="103" t="s">
        <v>24</v>
      </c>
      <c r="D45" s="102">
        <v>16</v>
      </c>
      <c r="E45" s="103"/>
      <c r="F45" s="101"/>
      <c r="G45" s="101">
        <v>824</v>
      </c>
      <c r="H45" s="101" t="s">
        <v>131</v>
      </c>
      <c r="I45" s="104">
        <v>45330</v>
      </c>
      <c r="J45" s="103" t="s">
        <v>358</v>
      </c>
      <c r="K45" s="102">
        <v>2.1904499999999998</v>
      </c>
      <c r="L45" s="105"/>
      <c r="M45" s="106">
        <v>1.75</v>
      </c>
      <c r="N45" s="106"/>
      <c r="O45" s="106"/>
      <c r="P45" s="106"/>
      <c r="Q45" s="106">
        <v>4.0830000000000002</v>
      </c>
      <c r="R45" s="106">
        <v>15</v>
      </c>
      <c r="S45" s="106">
        <v>41.1</v>
      </c>
      <c r="T45" s="106"/>
      <c r="U45" s="107">
        <v>5</v>
      </c>
      <c r="V45" s="99">
        <f t="shared" si="0"/>
        <v>14.385</v>
      </c>
    </row>
    <row r="46" spans="1:22" s="108" customFormat="1" x14ac:dyDescent="0.25">
      <c r="A46" s="389"/>
      <c r="B46" s="386"/>
      <c r="C46" s="103" t="s">
        <v>24</v>
      </c>
      <c r="D46" s="102">
        <v>17</v>
      </c>
      <c r="E46" s="103"/>
      <c r="F46" s="101"/>
      <c r="G46" s="101">
        <v>824</v>
      </c>
      <c r="H46" s="101" t="s">
        <v>131</v>
      </c>
      <c r="I46" s="104">
        <v>45330</v>
      </c>
      <c r="J46" s="103" t="s">
        <v>359</v>
      </c>
      <c r="K46" s="102">
        <v>1.91605</v>
      </c>
      <c r="L46" s="105"/>
      <c r="M46" s="106">
        <v>1.57</v>
      </c>
      <c r="N46" s="106"/>
      <c r="O46" s="106"/>
      <c r="P46" s="106"/>
      <c r="Q46" s="106">
        <v>3.911</v>
      </c>
      <c r="R46" s="106">
        <v>15</v>
      </c>
      <c r="S46" s="106">
        <v>42.5</v>
      </c>
      <c r="T46" s="106"/>
      <c r="U46" s="107">
        <v>5</v>
      </c>
      <c r="V46" s="99">
        <f t="shared" si="0"/>
        <v>13.345000000000002</v>
      </c>
    </row>
    <row r="47" spans="1:22" s="108" customFormat="1" x14ac:dyDescent="0.25">
      <c r="A47" s="389"/>
      <c r="B47" s="386"/>
      <c r="C47" s="103" t="s">
        <v>24</v>
      </c>
      <c r="D47" s="102">
        <v>18</v>
      </c>
      <c r="E47" s="103"/>
      <c r="F47" s="101"/>
      <c r="G47" s="101">
        <v>824</v>
      </c>
      <c r="H47" s="101" t="s">
        <v>131</v>
      </c>
      <c r="I47" s="104">
        <v>45330</v>
      </c>
      <c r="J47" s="103" t="s">
        <v>360</v>
      </c>
      <c r="K47" s="102">
        <v>1.8137000000000001</v>
      </c>
      <c r="L47" s="105"/>
      <c r="M47" s="106">
        <v>1.48</v>
      </c>
      <c r="N47" s="106"/>
      <c r="O47" s="106"/>
      <c r="P47" s="106"/>
      <c r="Q47" s="106">
        <v>3.6110000000000002</v>
      </c>
      <c r="R47" s="106">
        <v>15</v>
      </c>
      <c r="S47" s="106">
        <v>41.2</v>
      </c>
      <c r="T47" s="106"/>
      <c r="U47" s="107">
        <v>5</v>
      </c>
      <c r="V47" s="99">
        <f t="shared" si="0"/>
        <v>12.195200000000002</v>
      </c>
    </row>
    <row r="48" spans="1:22" s="108" customFormat="1" x14ac:dyDescent="0.25">
      <c r="A48" s="389"/>
      <c r="B48" s="386"/>
      <c r="C48" s="103" t="s">
        <v>24</v>
      </c>
      <c r="D48" s="102">
        <v>19</v>
      </c>
      <c r="E48" s="103"/>
      <c r="F48" s="101"/>
      <c r="G48" s="101">
        <v>824</v>
      </c>
      <c r="H48" s="101" t="s">
        <v>131</v>
      </c>
      <c r="I48" s="104">
        <v>45330</v>
      </c>
      <c r="J48" s="103" t="s">
        <v>361</v>
      </c>
      <c r="K48" s="102">
        <v>1.8684499999999999</v>
      </c>
      <c r="L48" s="105"/>
      <c r="M48" s="106">
        <v>1.48</v>
      </c>
      <c r="N48" s="106"/>
      <c r="O48" s="106"/>
      <c r="P48" s="106"/>
      <c r="Q48" s="106">
        <v>3.5659999999999998</v>
      </c>
      <c r="R48" s="106">
        <v>15</v>
      </c>
      <c r="S48" s="106">
        <v>42.6</v>
      </c>
      <c r="T48" s="106"/>
      <c r="U48" s="107">
        <v>5</v>
      </c>
      <c r="V48" s="99">
        <f t="shared" si="0"/>
        <v>12.6096</v>
      </c>
    </row>
    <row r="49" spans="1:22" s="108" customFormat="1" x14ac:dyDescent="0.25">
      <c r="A49" s="389"/>
      <c r="B49" s="386"/>
      <c r="C49" s="103" t="s">
        <v>24</v>
      </c>
      <c r="D49" s="102">
        <v>20</v>
      </c>
      <c r="E49" s="103"/>
      <c r="F49" s="101"/>
      <c r="G49" s="101">
        <v>824</v>
      </c>
      <c r="H49" s="101" t="s">
        <v>131</v>
      </c>
      <c r="I49" s="104">
        <v>45330</v>
      </c>
      <c r="J49" s="103" t="s">
        <v>362</v>
      </c>
      <c r="K49" s="102" t="s">
        <v>349</v>
      </c>
      <c r="L49" s="105"/>
      <c r="M49" s="106">
        <v>0.88</v>
      </c>
      <c r="N49" s="106"/>
      <c r="O49" s="106"/>
      <c r="P49" s="106"/>
      <c r="Q49" s="106"/>
      <c r="R49" s="106">
        <v>15</v>
      </c>
      <c r="S49" s="106">
        <v>44.5</v>
      </c>
      <c r="T49" s="106"/>
      <c r="U49" s="107">
        <v>5</v>
      </c>
      <c r="V49" s="99">
        <f t="shared" si="0"/>
        <v>7.8320000000000007</v>
      </c>
    </row>
    <row r="50" spans="1:22" s="108" customFormat="1" x14ac:dyDescent="0.25">
      <c r="A50" s="389"/>
      <c r="B50" s="386"/>
      <c r="C50" s="103" t="s">
        <v>24</v>
      </c>
      <c r="D50" s="102">
        <v>21</v>
      </c>
      <c r="E50" s="103"/>
      <c r="F50" s="101"/>
      <c r="G50" s="101">
        <v>824</v>
      </c>
      <c r="H50" s="101" t="s">
        <v>131</v>
      </c>
      <c r="I50" s="104">
        <v>45330</v>
      </c>
      <c r="J50" s="103" t="s">
        <v>363</v>
      </c>
      <c r="K50" s="102">
        <v>1.0164500000000001</v>
      </c>
      <c r="L50" s="105"/>
      <c r="M50" s="106">
        <v>0.78</v>
      </c>
      <c r="N50" s="106"/>
      <c r="O50" s="106"/>
      <c r="P50" s="106"/>
      <c r="Q50" s="106">
        <v>1.83</v>
      </c>
      <c r="R50" s="106">
        <v>15</v>
      </c>
      <c r="S50" s="106">
        <v>38.4</v>
      </c>
      <c r="T50" s="106"/>
      <c r="U50" s="107">
        <v>5</v>
      </c>
      <c r="V50" s="99">
        <f t="shared" si="0"/>
        <v>5.9903999999999993</v>
      </c>
    </row>
    <row r="51" spans="1:22" s="108" customFormat="1" x14ac:dyDescent="0.25">
      <c r="A51" s="389"/>
      <c r="B51" s="386"/>
      <c r="C51" s="103" t="s">
        <v>24</v>
      </c>
      <c r="D51" s="102">
        <v>22</v>
      </c>
      <c r="E51" s="103"/>
      <c r="F51" s="101"/>
      <c r="G51" s="101">
        <v>824</v>
      </c>
      <c r="H51" s="101" t="s">
        <v>131</v>
      </c>
      <c r="I51" s="104">
        <v>45330</v>
      </c>
      <c r="J51" s="103" t="s">
        <v>364</v>
      </c>
      <c r="K51" s="102">
        <v>1.2998000000000001</v>
      </c>
      <c r="L51" s="105"/>
      <c r="M51" s="106">
        <v>1.0900000000000001</v>
      </c>
      <c r="N51" s="106"/>
      <c r="O51" s="106"/>
      <c r="P51" s="106"/>
      <c r="Q51" s="106">
        <v>2.67</v>
      </c>
      <c r="R51" s="106">
        <v>15</v>
      </c>
      <c r="S51" s="106">
        <v>42.9</v>
      </c>
      <c r="T51" s="106"/>
      <c r="U51" s="107">
        <v>5</v>
      </c>
      <c r="V51" s="99">
        <f t="shared" si="0"/>
        <v>9.3521999999999998</v>
      </c>
    </row>
    <row r="52" spans="1:22" s="108" customFormat="1" x14ac:dyDescent="0.25">
      <c r="A52" s="389"/>
      <c r="B52" s="386"/>
      <c r="C52" s="103" t="s">
        <v>24</v>
      </c>
      <c r="D52" s="102">
        <v>23</v>
      </c>
      <c r="E52" s="103"/>
      <c r="F52" s="101"/>
      <c r="G52" s="101">
        <v>824</v>
      </c>
      <c r="H52" s="101" t="s">
        <v>131</v>
      </c>
      <c r="I52" s="104">
        <v>45330</v>
      </c>
      <c r="J52" s="103" t="s">
        <v>365</v>
      </c>
      <c r="K52" s="102">
        <v>1.2538499999999999</v>
      </c>
      <c r="L52" s="105"/>
      <c r="M52" s="106">
        <v>1.1100000000000001</v>
      </c>
      <c r="N52" s="106"/>
      <c r="O52" s="106"/>
      <c r="P52" s="106"/>
      <c r="Q52" s="106">
        <v>2.1779999999999999</v>
      </c>
      <c r="R52" s="106">
        <v>15</v>
      </c>
      <c r="S52" s="106">
        <v>43.4</v>
      </c>
      <c r="T52" s="106"/>
      <c r="U52" s="107">
        <v>5</v>
      </c>
      <c r="V52" s="99">
        <f t="shared" si="0"/>
        <v>9.6348000000000003</v>
      </c>
    </row>
    <row r="53" spans="1:22" s="108" customFormat="1" x14ac:dyDescent="0.25">
      <c r="A53" s="389"/>
      <c r="B53" s="386"/>
      <c r="C53" s="103" t="s">
        <v>24</v>
      </c>
      <c r="D53" s="102">
        <v>24</v>
      </c>
      <c r="E53" s="103"/>
      <c r="F53" s="101"/>
      <c r="G53" s="101">
        <v>824</v>
      </c>
      <c r="H53" s="101" t="s">
        <v>131</v>
      </c>
      <c r="I53" s="104">
        <v>45330</v>
      </c>
      <c r="J53" s="103" t="s">
        <v>366</v>
      </c>
      <c r="K53" s="102">
        <v>0.40550000000000003</v>
      </c>
      <c r="L53" s="105"/>
      <c r="M53" s="106">
        <v>0.3</v>
      </c>
      <c r="N53" s="106"/>
      <c r="O53" s="106"/>
      <c r="P53" s="106"/>
      <c r="Q53" s="106">
        <v>0.88700000000000001</v>
      </c>
      <c r="R53" s="106">
        <v>15</v>
      </c>
      <c r="S53" s="106">
        <v>40.299999999999997</v>
      </c>
      <c r="T53" s="106"/>
      <c r="U53" s="107">
        <v>5</v>
      </c>
      <c r="V53" s="99">
        <f t="shared" si="0"/>
        <v>2.4179999999999997</v>
      </c>
    </row>
    <row r="54" spans="1:22" s="108" customFormat="1" x14ac:dyDescent="0.25">
      <c r="A54" s="389"/>
      <c r="B54" s="386"/>
      <c r="C54" s="103" t="s">
        <v>24</v>
      </c>
      <c r="D54" s="102">
        <v>25</v>
      </c>
      <c r="E54" s="103"/>
      <c r="F54" s="101"/>
      <c r="G54" s="101">
        <v>824</v>
      </c>
      <c r="H54" s="101" t="s">
        <v>131</v>
      </c>
      <c r="I54" s="104">
        <v>45330</v>
      </c>
      <c r="J54" s="103" t="s">
        <v>367</v>
      </c>
      <c r="K54" s="102">
        <v>0.40594999999999998</v>
      </c>
      <c r="L54" s="105"/>
      <c r="M54" s="106">
        <v>0.3</v>
      </c>
      <c r="N54" s="106"/>
      <c r="O54" s="106"/>
      <c r="P54" s="106"/>
      <c r="Q54" s="106">
        <v>0.72599999999999998</v>
      </c>
      <c r="R54" s="106">
        <v>15</v>
      </c>
      <c r="S54" s="106">
        <v>34.299999999999997</v>
      </c>
      <c r="T54" s="106"/>
      <c r="U54" s="107">
        <v>5</v>
      </c>
      <c r="V54" s="99">
        <f t="shared" si="0"/>
        <v>2.0579999999999998</v>
      </c>
    </row>
    <row r="55" spans="1:22" s="118" customFormat="1" x14ac:dyDescent="0.25">
      <c r="A55" s="390"/>
      <c r="B55" s="387"/>
      <c r="C55" s="111" t="s">
        <v>24</v>
      </c>
      <c r="D55" s="112">
        <v>26</v>
      </c>
      <c r="E55" s="111"/>
      <c r="F55" s="113"/>
      <c r="G55" s="113">
        <v>824</v>
      </c>
      <c r="H55" s="113" t="s">
        <v>131</v>
      </c>
      <c r="I55" s="114">
        <v>45330</v>
      </c>
      <c r="J55" s="111" t="s">
        <v>368</v>
      </c>
      <c r="K55" s="112">
        <v>1.0854999999999999</v>
      </c>
      <c r="L55" s="115"/>
      <c r="M55" s="116">
        <v>0.85</v>
      </c>
      <c r="N55" s="116"/>
      <c r="O55" s="116"/>
      <c r="P55" s="116"/>
      <c r="Q55" s="116">
        <v>2.14</v>
      </c>
      <c r="R55" s="116">
        <v>15</v>
      </c>
      <c r="S55" s="116">
        <v>42.6</v>
      </c>
      <c r="T55" s="116"/>
      <c r="U55" s="117">
        <v>5</v>
      </c>
      <c r="V55" s="99">
        <f t="shared" si="0"/>
        <v>7.242</v>
      </c>
    </row>
    <row r="56" spans="1:22" s="100" customFormat="1" x14ac:dyDescent="0.25">
      <c r="A56" s="388" t="s">
        <v>100</v>
      </c>
      <c r="B56" s="385" t="s">
        <v>369</v>
      </c>
      <c r="C56" s="94" t="s">
        <v>45</v>
      </c>
      <c r="D56" s="93">
        <v>1</v>
      </c>
      <c r="E56" s="94"/>
      <c r="F56" s="92"/>
      <c r="G56" s="92">
        <v>824</v>
      </c>
      <c r="H56" s="92" t="s">
        <v>131</v>
      </c>
      <c r="I56" s="93"/>
      <c r="J56" s="94" t="s">
        <v>370</v>
      </c>
      <c r="K56" s="93">
        <v>1.1527000000000001</v>
      </c>
      <c r="L56" s="96"/>
      <c r="M56" s="97">
        <v>1.23</v>
      </c>
      <c r="N56" s="97"/>
      <c r="O56" s="97"/>
      <c r="P56" s="97"/>
      <c r="Q56" s="97"/>
      <c r="R56" s="97">
        <v>15</v>
      </c>
      <c r="S56" s="97">
        <v>49.427999999999997</v>
      </c>
      <c r="T56" s="97"/>
      <c r="U56" s="98">
        <v>5</v>
      </c>
      <c r="V56" s="99">
        <f t="shared" si="0"/>
        <v>12.159288</v>
      </c>
    </row>
    <row r="57" spans="1:22" s="108" customFormat="1" x14ac:dyDescent="0.25">
      <c r="A57" s="389"/>
      <c r="B57" s="386"/>
      <c r="C57" s="103" t="s">
        <v>45</v>
      </c>
      <c r="D57" s="102">
        <v>2</v>
      </c>
      <c r="E57" s="103"/>
      <c r="F57" s="101"/>
      <c r="G57" s="101">
        <v>824</v>
      </c>
      <c r="H57" s="101" t="s">
        <v>131</v>
      </c>
      <c r="I57" s="102"/>
      <c r="J57" s="103" t="s">
        <v>371</v>
      </c>
      <c r="K57" s="102">
        <v>1.3551500000000001</v>
      </c>
      <c r="L57" s="105"/>
      <c r="M57" s="106">
        <v>1.47</v>
      </c>
      <c r="N57" s="106"/>
      <c r="O57" s="106"/>
      <c r="P57" s="106"/>
      <c r="Q57" s="106"/>
      <c r="R57" s="106">
        <v>15</v>
      </c>
      <c r="S57" s="106">
        <v>48.87</v>
      </c>
      <c r="T57" s="106"/>
      <c r="U57" s="107">
        <v>5</v>
      </c>
      <c r="V57" s="99">
        <f t="shared" si="0"/>
        <v>14.36778</v>
      </c>
    </row>
    <row r="58" spans="1:22" s="108" customFormat="1" x14ac:dyDescent="0.25">
      <c r="A58" s="389"/>
      <c r="B58" s="386"/>
      <c r="C58" s="103" t="s">
        <v>45</v>
      </c>
      <c r="D58" s="102">
        <v>3</v>
      </c>
      <c r="E58" s="103"/>
      <c r="F58" s="101"/>
      <c r="G58" s="101">
        <v>824</v>
      </c>
      <c r="H58" s="101" t="s">
        <v>131</v>
      </c>
      <c r="I58" s="102"/>
      <c r="J58" s="103" t="s">
        <v>372</v>
      </c>
      <c r="K58" s="102">
        <v>1.3546499999999999</v>
      </c>
      <c r="L58" s="105"/>
      <c r="M58" s="106">
        <v>1.46</v>
      </c>
      <c r="N58" s="106"/>
      <c r="O58" s="106"/>
      <c r="P58" s="106"/>
      <c r="Q58" s="106"/>
      <c r="R58" s="106">
        <v>15</v>
      </c>
      <c r="S58" s="106">
        <v>47.92</v>
      </c>
      <c r="T58" s="106"/>
      <c r="U58" s="107">
        <v>5</v>
      </c>
      <c r="V58" s="99">
        <f t="shared" si="0"/>
        <v>13.99264</v>
      </c>
    </row>
    <row r="59" spans="1:22" s="108" customFormat="1" x14ac:dyDescent="0.25">
      <c r="A59" s="389"/>
      <c r="B59" s="386"/>
      <c r="C59" s="103" t="s">
        <v>45</v>
      </c>
      <c r="D59" s="102">
        <v>4</v>
      </c>
      <c r="E59" s="103"/>
      <c r="F59" s="101"/>
      <c r="G59" s="101">
        <v>824</v>
      </c>
      <c r="H59" s="101" t="s">
        <v>131</v>
      </c>
      <c r="I59" s="102"/>
      <c r="J59" s="103" t="s">
        <v>373</v>
      </c>
      <c r="K59" s="102">
        <v>1.2676499999999999</v>
      </c>
      <c r="L59" s="105"/>
      <c r="M59" s="106">
        <v>1.32</v>
      </c>
      <c r="N59" s="106"/>
      <c r="O59" s="106"/>
      <c r="P59" s="106"/>
      <c r="Q59" s="106"/>
      <c r="R59" s="106">
        <v>15</v>
      </c>
      <c r="S59" s="106">
        <v>48.811999999999998</v>
      </c>
      <c r="T59" s="106"/>
      <c r="U59" s="107">
        <v>5</v>
      </c>
      <c r="V59" s="99">
        <f t="shared" si="0"/>
        <v>12.886367999999999</v>
      </c>
    </row>
    <row r="60" spans="1:22" s="123" customFormat="1" x14ac:dyDescent="0.25">
      <c r="A60" s="389"/>
      <c r="B60" s="387"/>
      <c r="C60" s="119" t="s">
        <v>45</v>
      </c>
      <c r="D60" s="110">
        <v>5</v>
      </c>
      <c r="E60" s="119"/>
      <c r="F60" s="109"/>
      <c r="G60" s="109">
        <v>824</v>
      </c>
      <c r="H60" s="109" t="s">
        <v>131</v>
      </c>
      <c r="I60" s="110"/>
      <c r="J60" s="119" t="s">
        <v>374</v>
      </c>
      <c r="K60" s="110">
        <v>1.4027499999999999</v>
      </c>
      <c r="L60" s="120"/>
      <c r="M60" s="121">
        <v>1.52</v>
      </c>
      <c r="N60" s="121"/>
      <c r="O60" s="121"/>
      <c r="P60" s="121"/>
      <c r="Q60" s="121"/>
      <c r="R60" s="121">
        <v>15</v>
      </c>
      <c r="S60" s="121">
        <v>45.679000000000002</v>
      </c>
      <c r="T60" s="121"/>
      <c r="U60" s="122">
        <v>5</v>
      </c>
      <c r="V60" s="99">
        <f t="shared" si="0"/>
        <v>13.886416000000001</v>
      </c>
    </row>
    <row r="61" spans="1:22" s="130" customFormat="1" x14ac:dyDescent="0.25">
      <c r="A61" s="389"/>
      <c r="B61" s="386" t="s">
        <v>375</v>
      </c>
      <c r="C61" s="124" t="s">
        <v>45</v>
      </c>
      <c r="D61" s="125">
        <v>1</v>
      </c>
      <c r="E61" s="124"/>
      <c r="F61" s="126"/>
      <c r="G61" s="126">
        <v>824</v>
      </c>
      <c r="H61" s="126" t="s">
        <v>131</v>
      </c>
      <c r="I61" s="125"/>
      <c r="J61" s="124" t="s">
        <v>376</v>
      </c>
      <c r="K61" s="125"/>
      <c r="L61" s="127"/>
      <c r="M61" s="128">
        <v>0.39</v>
      </c>
      <c r="N61" s="128"/>
      <c r="O61" s="128"/>
      <c r="P61" s="128"/>
      <c r="Q61" s="128">
        <v>1.369</v>
      </c>
      <c r="R61" s="128">
        <v>15</v>
      </c>
      <c r="S61" s="128">
        <v>47.2</v>
      </c>
      <c r="T61" s="128"/>
      <c r="U61" s="129">
        <v>5</v>
      </c>
      <c r="V61" s="99">
        <f t="shared" si="0"/>
        <v>3.6816000000000004</v>
      </c>
    </row>
    <row r="62" spans="1:22" s="118" customFormat="1" x14ac:dyDescent="0.25">
      <c r="A62" s="390"/>
      <c r="B62" s="387"/>
      <c r="C62" s="111" t="s">
        <v>45</v>
      </c>
      <c r="D62" s="112">
        <v>2</v>
      </c>
      <c r="E62" s="111"/>
      <c r="F62" s="113"/>
      <c r="G62" s="113">
        <v>824</v>
      </c>
      <c r="H62" s="113" t="s">
        <v>131</v>
      </c>
      <c r="I62" s="112"/>
      <c r="J62" s="111" t="s">
        <v>377</v>
      </c>
      <c r="K62" s="112"/>
      <c r="L62" s="115"/>
      <c r="M62" s="116">
        <v>0.12</v>
      </c>
      <c r="N62" s="116"/>
      <c r="O62" s="116"/>
      <c r="P62" s="116"/>
      <c r="Q62" s="116">
        <v>0.73099999999999998</v>
      </c>
      <c r="R62" s="116">
        <v>15</v>
      </c>
      <c r="S62" s="116">
        <v>49.344000000000001</v>
      </c>
      <c r="T62" s="116"/>
      <c r="U62" s="117">
        <v>5</v>
      </c>
      <c r="V62" s="99">
        <f t="shared" si="0"/>
        <v>1.184256</v>
      </c>
    </row>
    <row r="63" spans="1:22" s="100" customFormat="1" x14ac:dyDescent="0.25">
      <c r="A63" s="388" t="s">
        <v>378</v>
      </c>
      <c r="B63" s="385" t="s">
        <v>379</v>
      </c>
      <c r="C63" s="94" t="s">
        <v>24</v>
      </c>
      <c r="D63" s="93">
        <v>1</v>
      </c>
      <c r="E63" s="94"/>
      <c r="F63" s="92"/>
      <c r="G63" s="92">
        <v>794</v>
      </c>
      <c r="H63" s="131" t="s">
        <v>380</v>
      </c>
      <c r="I63" s="95">
        <v>45377</v>
      </c>
      <c r="J63" s="94" t="s">
        <v>381</v>
      </c>
      <c r="K63" s="93">
        <v>1.339</v>
      </c>
      <c r="L63" s="96"/>
      <c r="M63" s="97">
        <v>1.57</v>
      </c>
      <c r="N63" s="97"/>
      <c r="O63" s="97"/>
      <c r="P63" s="97"/>
      <c r="Q63" s="97">
        <v>3.5009999999999999</v>
      </c>
      <c r="R63" s="97">
        <v>15</v>
      </c>
      <c r="S63" s="97">
        <v>45.06</v>
      </c>
      <c r="T63" s="97"/>
      <c r="U63" s="98">
        <v>5</v>
      </c>
      <c r="V63" s="99">
        <f t="shared" si="0"/>
        <v>14.148840000000002</v>
      </c>
    </row>
    <row r="64" spans="1:22" s="108" customFormat="1" x14ac:dyDescent="0.25">
      <c r="A64" s="389"/>
      <c r="B64" s="386"/>
      <c r="C64" s="103" t="s">
        <v>24</v>
      </c>
      <c r="D64" s="102">
        <v>2</v>
      </c>
      <c r="E64" s="103"/>
      <c r="F64" s="101"/>
      <c r="G64" s="101">
        <v>794</v>
      </c>
      <c r="H64" s="132" t="s">
        <v>380</v>
      </c>
      <c r="I64" s="104">
        <v>45377</v>
      </c>
      <c r="J64" s="103" t="s">
        <v>382</v>
      </c>
      <c r="K64" s="102">
        <v>1.232</v>
      </c>
      <c r="L64" s="105"/>
      <c r="M64" s="106">
        <v>1.46</v>
      </c>
      <c r="N64" s="106"/>
      <c r="O64" s="106"/>
      <c r="P64" s="106"/>
      <c r="Q64" s="106">
        <v>3.1890000000000001</v>
      </c>
      <c r="R64" s="106">
        <v>15</v>
      </c>
      <c r="S64" s="106">
        <v>44.59</v>
      </c>
      <c r="T64" s="106"/>
      <c r="U64" s="107">
        <v>5</v>
      </c>
      <c r="V64" s="99">
        <f t="shared" si="0"/>
        <v>13.02028</v>
      </c>
    </row>
    <row r="65" spans="1:23" s="108" customFormat="1" x14ac:dyDescent="0.25">
      <c r="A65" s="389"/>
      <c r="B65" s="386"/>
      <c r="C65" s="103" t="s">
        <v>24</v>
      </c>
      <c r="D65" s="102">
        <v>3</v>
      </c>
      <c r="E65" s="103"/>
      <c r="F65" s="101"/>
      <c r="G65" s="101">
        <v>792</v>
      </c>
      <c r="H65" s="101" t="s">
        <v>383</v>
      </c>
      <c r="I65" s="104">
        <v>45377</v>
      </c>
      <c r="J65" s="103" t="s">
        <v>384</v>
      </c>
      <c r="K65" s="102">
        <v>1.0740000000000001</v>
      </c>
      <c r="L65" s="105"/>
      <c r="M65" s="106">
        <v>1.31</v>
      </c>
      <c r="N65" s="106"/>
      <c r="O65" s="106"/>
      <c r="P65" s="106"/>
      <c r="Q65" s="106">
        <v>2.7839999999999998</v>
      </c>
      <c r="R65" s="106">
        <v>15</v>
      </c>
      <c r="S65" s="106">
        <v>44.44</v>
      </c>
      <c r="T65" s="106"/>
      <c r="U65" s="107">
        <v>5</v>
      </c>
      <c r="V65" s="99">
        <f t="shared" si="0"/>
        <v>11.643280000000001</v>
      </c>
    </row>
    <row r="66" spans="1:23" s="108" customFormat="1" x14ac:dyDescent="0.25">
      <c r="A66" s="389"/>
      <c r="B66" s="386"/>
      <c r="C66" s="103" t="s">
        <v>24</v>
      </c>
      <c r="D66" s="102">
        <v>4</v>
      </c>
      <c r="E66" s="103"/>
      <c r="F66" s="101"/>
      <c r="G66" s="101">
        <v>792</v>
      </c>
      <c r="H66" s="101" t="s">
        <v>383</v>
      </c>
      <c r="I66" s="104">
        <v>45377</v>
      </c>
      <c r="J66" s="103" t="s">
        <v>385</v>
      </c>
      <c r="K66" s="102">
        <v>1.153</v>
      </c>
      <c r="L66" s="105"/>
      <c r="M66" s="106">
        <v>1.32</v>
      </c>
      <c r="N66" s="106"/>
      <c r="O66" s="106"/>
      <c r="P66" s="106"/>
      <c r="Q66" s="106">
        <v>2.9849999999999999</v>
      </c>
      <c r="R66" s="106">
        <v>15</v>
      </c>
      <c r="S66" s="106">
        <v>46.12</v>
      </c>
      <c r="T66" s="106"/>
      <c r="U66" s="107">
        <v>5</v>
      </c>
      <c r="V66" s="99">
        <f t="shared" si="0"/>
        <v>12.17568</v>
      </c>
    </row>
    <row r="67" spans="1:23" s="108" customFormat="1" x14ac:dyDescent="0.25">
      <c r="A67" s="389"/>
      <c r="B67" s="386"/>
      <c r="C67" s="103" t="s">
        <v>24</v>
      </c>
      <c r="D67" s="102">
        <v>5</v>
      </c>
      <c r="E67" s="103"/>
      <c r="F67" s="101"/>
      <c r="G67" s="101">
        <v>795</v>
      </c>
      <c r="H67" s="101" t="s">
        <v>386</v>
      </c>
      <c r="I67" s="104">
        <v>45377</v>
      </c>
      <c r="J67" s="103" t="s">
        <v>387</v>
      </c>
      <c r="K67" s="102">
        <v>0.86499999999999999</v>
      </c>
      <c r="L67" s="105"/>
      <c r="M67" s="106">
        <v>1</v>
      </c>
      <c r="N67" s="106"/>
      <c r="O67" s="106"/>
      <c r="P67" s="106"/>
      <c r="Q67" s="106">
        <v>2.2400000000000002</v>
      </c>
      <c r="R67" s="106">
        <v>15</v>
      </c>
      <c r="S67" s="106">
        <v>45.25</v>
      </c>
      <c r="T67" s="106"/>
      <c r="U67" s="107">
        <v>5</v>
      </c>
      <c r="V67" s="99">
        <f t="shared" ref="V67:V104" si="1">M67*S67/U67</f>
        <v>9.0500000000000007</v>
      </c>
    </row>
    <row r="68" spans="1:23" s="118" customFormat="1" x14ac:dyDescent="0.25">
      <c r="A68" s="390"/>
      <c r="B68" s="387"/>
      <c r="C68" s="111" t="s">
        <v>24</v>
      </c>
      <c r="D68" s="112">
        <v>6</v>
      </c>
      <c r="E68" s="111"/>
      <c r="F68" s="113"/>
      <c r="G68" s="113">
        <v>795</v>
      </c>
      <c r="H68" s="113" t="s">
        <v>386</v>
      </c>
      <c r="I68" s="114">
        <v>45377</v>
      </c>
      <c r="J68" s="111" t="s">
        <v>388</v>
      </c>
      <c r="K68" s="112">
        <v>1.0089999999999999</v>
      </c>
      <c r="L68" s="115"/>
      <c r="M68" s="116">
        <v>1.18</v>
      </c>
      <c r="N68" s="116"/>
      <c r="O68" s="121"/>
      <c r="P68" s="116"/>
      <c r="Q68" s="116">
        <v>2.6760000000000002</v>
      </c>
      <c r="R68" s="116">
        <v>15</v>
      </c>
      <c r="S68" s="116">
        <v>45.99</v>
      </c>
      <c r="T68" s="116"/>
      <c r="U68" s="117">
        <v>5</v>
      </c>
      <c r="V68" s="99">
        <f t="shared" si="1"/>
        <v>10.85364</v>
      </c>
    </row>
    <row r="69" spans="1:23" s="100" customFormat="1" x14ac:dyDescent="0.25">
      <c r="A69" s="388" t="s">
        <v>100</v>
      </c>
      <c r="B69" s="385" t="s">
        <v>389</v>
      </c>
      <c r="C69" s="94" t="s">
        <v>24</v>
      </c>
      <c r="D69" s="93">
        <v>1</v>
      </c>
      <c r="E69" s="94"/>
      <c r="F69" s="92"/>
      <c r="G69" s="92">
        <v>824</v>
      </c>
      <c r="H69" s="92" t="s">
        <v>131</v>
      </c>
      <c r="I69" s="93"/>
      <c r="J69" s="94" t="s">
        <v>390</v>
      </c>
      <c r="K69" s="133">
        <v>2.2376999999999998</v>
      </c>
      <c r="L69" s="96"/>
      <c r="M69" s="97">
        <v>1.97</v>
      </c>
      <c r="N69" s="128"/>
      <c r="O69" s="134">
        <f>((Q69*R69)/(M69*S69))*100</f>
        <v>74.509874262345079</v>
      </c>
      <c r="P69" s="97"/>
      <c r="Q69" s="97">
        <v>4.1539999999999999</v>
      </c>
      <c r="R69" s="97">
        <v>15</v>
      </c>
      <c r="S69" s="97">
        <f>56.73-14.28</f>
        <v>42.449999999999996</v>
      </c>
      <c r="T69" s="97"/>
      <c r="U69" s="98">
        <v>5</v>
      </c>
      <c r="V69" s="99">
        <f t="shared" si="1"/>
        <v>16.725299999999997</v>
      </c>
    </row>
    <row r="70" spans="1:23" x14ac:dyDescent="0.25">
      <c r="A70" s="389"/>
      <c r="B70" s="386"/>
      <c r="C70" s="103" t="s">
        <v>24</v>
      </c>
      <c r="D70" s="102">
        <v>2</v>
      </c>
      <c r="G70" s="101">
        <v>824</v>
      </c>
      <c r="H70" s="101" t="s">
        <v>131</v>
      </c>
      <c r="J70" s="103" t="s">
        <v>282</v>
      </c>
      <c r="K70" s="137">
        <v>1.5670500000000001</v>
      </c>
      <c r="M70" s="108">
        <v>1.46</v>
      </c>
      <c r="N70" s="130"/>
      <c r="O70" s="134">
        <f t="shared" ref="O70:O77" si="2">((Q70*R70)/(M70*S70))*100</f>
        <v>76.753850340895596</v>
      </c>
      <c r="Q70" s="106">
        <v>2.9329999999999998</v>
      </c>
      <c r="R70" s="106">
        <v>15</v>
      </c>
      <c r="S70" s="106">
        <f>55.5-16.24</f>
        <v>39.260000000000005</v>
      </c>
      <c r="U70" s="107">
        <v>5</v>
      </c>
      <c r="V70" s="99">
        <f t="shared" si="1"/>
        <v>11.463920000000002</v>
      </c>
    </row>
    <row r="71" spans="1:23" x14ac:dyDescent="0.25">
      <c r="A71" s="389"/>
      <c r="B71" s="386"/>
      <c r="C71" s="103" t="s">
        <v>24</v>
      </c>
      <c r="D71" s="102">
        <v>3</v>
      </c>
      <c r="G71" s="101">
        <v>824</v>
      </c>
      <c r="H71" s="101" t="s">
        <v>131</v>
      </c>
      <c r="J71" s="103" t="s">
        <v>283</v>
      </c>
      <c r="K71" s="137">
        <v>0.81189999999999996</v>
      </c>
      <c r="M71" s="108">
        <v>0.73</v>
      </c>
      <c r="N71" s="130"/>
      <c r="O71" s="134">
        <f t="shared" si="2"/>
        <v>84.918366676521799</v>
      </c>
      <c r="Q71" s="106">
        <v>1.5509999999999999</v>
      </c>
      <c r="R71" s="106">
        <v>15</v>
      </c>
      <c r="S71" s="106">
        <f>54.08-16.55</f>
        <v>37.53</v>
      </c>
      <c r="U71" s="107">
        <v>5</v>
      </c>
      <c r="V71" s="99">
        <f t="shared" si="1"/>
        <v>5.4793799999999999</v>
      </c>
    </row>
    <row r="72" spans="1:23" x14ac:dyDescent="0.25">
      <c r="A72" s="389"/>
      <c r="B72" s="386"/>
      <c r="C72" s="103" t="s">
        <v>24</v>
      </c>
      <c r="D72" s="102">
        <v>4</v>
      </c>
      <c r="G72" s="101">
        <v>821</v>
      </c>
      <c r="H72" s="101" t="s">
        <v>203</v>
      </c>
      <c r="J72" s="103" t="s">
        <v>284</v>
      </c>
      <c r="K72" s="137">
        <v>1.75535</v>
      </c>
      <c r="M72" s="108">
        <v>1.7</v>
      </c>
      <c r="N72" s="130"/>
      <c r="O72" s="134">
        <f t="shared" si="2"/>
        <v>75.924891505177683</v>
      </c>
      <c r="Q72" s="106">
        <v>3.5339999999999998</v>
      </c>
      <c r="R72" s="106">
        <v>15</v>
      </c>
      <c r="S72" s="106">
        <f>57.98-16.91</f>
        <v>41.069999999999993</v>
      </c>
      <c r="U72" s="107">
        <v>5</v>
      </c>
      <c r="V72" s="99">
        <f t="shared" si="1"/>
        <v>13.963799999999997</v>
      </c>
    </row>
    <row r="73" spans="1:23" x14ac:dyDescent="0.25">
      <c r="A73" s="389"/>
      <c r="B73" s="386"/>
      <c r="C73" s="103" t="s">
        <v>24</v>
      </c>
      <c r="D73" s="102">
        <v>5</v>
      </c>
      <c r="G73" s="101">
        <v>821</v>
      </c>
      <c r="H73" s="101" t="s">
        <v>203</v>
      </c>
      <c r="J73" s="103" t="s">
        <v>285</v>
      </c>
      <c r="K73" s="137">
        <v>1.63005</v>
      </c>
      <c r="M73" s="108">
        <v>1.56</v>
      </c>
      <c r="N73" s="130"/>
      <c r="O73" s="134">
        <f t="shared" si="2"/>
        <v>78.027383277898039</v>
      </c>
      <c r="Q73" s="106">
        <v>3.5470000000000002</v>
      </c>
      <c r="R73" s="106">
        <v>15</v>
      </c>
      <c r="S73" s="106">
        <f>58.07-14.36</f>
        <v>43.71</v>
      </c>
      <c r="U73" s="107">
        <v>5</v>
      </c>
      <c r="V73" s="99">
        <f t="shared" si="1"/>
        <v>13.63752</v>
      </c>
    </row>
    <row r="74" spans="1:23" x14ac:dyDescent="0.25">
      <c r="A74" s="389"/>
      <c r="B74" s="386"/>
      <c r="C74" s="103" t="s">
        <v>24</v>
      </c>
      <c r="D74" s="102">
        <v>6</v>
      </c>
      <c r="G74" s="101">
        <v>821</v>
      </c>
      <c r="H74" s="101" t="s">
        <v>203</v>
      </c>
      <c r="J74" s="103" t="s">
        <v>286</v>
      </c>
      <c r="K74" s="137">
        <v>1.42015</v>
      </c>
      <c r="M74" s="108">
        <v>1.38</v>
      </c>
      <c r="N74" s="130"/>
      <c r="O74" s="134">
        <f t="shared" si="2"/>
        <v>74.026146055165526</v>
      </c>
      <c r="Q74" s="106">
        <v>2.9060000000000001</v>
      </c>
      <c r="R74" s="106">
        <v>15</v>
      </c>
      <c r="S74" s="106">
        <f>56.97-14.3</f>
        <v>42.67</v>
      </c>
      <c r="U74" s="107">
        <v>5</v>
      </c>
      <c r="V74" s="99">
        <f t="shared" si="1"/>
        <v>11.77692</v>
      </c>
    </row>
    <row r="75" spans="1:23" x14ac:dyDescent="0.25">
      <c r="A75" s="389"/>
      <c r="B75" s="386"/>
      <c r="C75" s="103" t="s">
        <v>24</v>
      </c>
      <c r="D75" s="102">
        <v>7</v>
      </c>
      <c r="G75" s="101">
        <v>768</v>
      </c>
      <c r="H75" s="101" t="s">
        <v>119</v>
      </c>
      <c r="J75" s="103" t="s">
        <v>287</v>
      </c>
      <c r="K75" s="137">
        <v>1.8052000000000001</v>
      </c>
      <c r="M75" s="108">
        <v>1.72</v>
      </c>
      <c r="N75" s="130"/>
      <c r="O75" s="134">
        <f t="shared" si="2"/>
        <v>72.459011012456713</v>
      </c>
      <c r="Q75" s="106">
        <v>3.532</v>
      </c>
      <c r="R75" s="106">
        <v>15</v>
      </c>
      <c r="S75" s="106">
        <f>56.76-14.25</f>
        <v>42.51</v>
      </c>
      <c r="U75" s="107">
        <v>5</v>
      </c>
      <c r="V75" s="99">
        <f t="shared" si="1"/>
        <v>14.623439999999999</v>
      </c>
    </row>
    <row r="76" spans="1:23" x14ac:dyDescent="0.25">
      <c r="A76" s="389"/>
      <c r="B76" s="386"/>
      <c r="C76" s="103" t="s">
        <v>24</v>
      </c>
      <c r="D76" s="102">
        <v>8</v>
      </c>
      <c r="G76" s="101">
        <v>768</v>
      </c>
      <c r="H76" s="101" t="s">
        <v>119</v>
      </c>
      <c r="J76" s="103" t="s">
        <v>288</v>
      </c>
      <c r="K76" s="137">
        <v>1.46025</v>
      </c>
      <c r="M76" s="108">
        <v>1.36</v>
      </c>
      <c r="N76" s="130"/>
      <c r="O76" s="134">
        <f t="shared" si="2"/>
        <v>72.493902923945598</v>
      </c>
      <c r="Q76" s="106">
        <v>2.9169999999999998</v>
      </c>
      <c r="R76" s="106">
        <v>15</v>
      </c>
      <c r="S76" s="106">
        <f>58.65-14.27</f>
        <v>44.379999999999995</v>
      </c>
      <c r="U76" s="107">
        <v>5</v>
      </c>
      <c r="V76" s="99">
        <f t="shared" si="1"/>
        <v>12.07136</v>
      </c>
    </row>
    <row r="77" spans="1:23" s="146" customFormat="1" x14ac:dyDescent="0.25">
      <c r="A77" s="390"/>
      <c r="B77" s="387"/>
      <c r="C77" s="119" t="s">
        <v>24</v>
      </c>
      <c r="D77" s="110">
        <v>9</v>
      </c>
      <c r="E77" s="140"/>
      <c r="F77" s="141"/>
      <c r="G77" s="109">
        <v>768</v>
      </c>
      <c r="H77" s="109" t="s">
        <v>119</v>
      </c>
      <c r="I77" s="110"/>
      <c r="J77" s="119" t="s">
        <v>289</v>
      </c>
      <c r="K77" s="142">
        <v>0.89960000000000007</v>
      </c>
      <c r="L77" s="143"/>
      <c r="M77" s="123">
        <v>0.81</v>
      </c>
      <c r="N77" s="144"/>
      <c r="O77" s="145">
        <f t="shared" si="2"/>
        <v>77.225791847324516</v>
      </c>
      <c r="Q77" s="121">
        <v>1.774</v>
      </c>
      <c r="R77" s="121">
        <v>15</v>
      </c>
      <c r="S77" s="121">
        <f>56.84-14.3</f>
        <v>42.540000000000006</v>
      </c>
      <c r="U77" s="122">
        <v>5</v>
      </c>
      <c r="V77" s="99">
        <f t="shared" si="1"/>
        <v>6.8914800000000014</v>
      </c>
    </row>
    <row r="78" spans="1:23" s="155" customFormat="1" x14ac:dyDescent="0.25">
      <c r="A78" s="381" t="s">
        <v>378</v>
      </c>
      <c r="B78" s="378" t="s">
        <v>391</v>
      </c>
      <c r="C78" s="94" t="s">
        <v>45</v>
      </c>
      <c r="D78" s="125">
        <v>1</v>
      </c>
      <c r="E78" s="149"/>
      <c r="F78" s="150"/>
      <c r="G78" s="150"/>
      <c r="H78" s="151" t="s">
        <v>380</v>
      </c>
      <c r="I78" s="152">
        <v>45395</v>
      </c>
      <c r="J78" s="103" t="s">
        <v>290</v>
      </c>
      <c r="K78" s="153"/>
      <c r="L78" s="154"/>
      <c r="M78" s="130">
        <v>0.35</v>
      </c>
      <c r="N78" s="130"/>
      <c r="O78" s="134">
        <f>((Q78*R78)/(M78*S78))*100</f>
        <v>85.971428571428561</v>
      </c>
      <c r="Q78" s="156">
        <v>1.0029999999999999</v>
      </c>
      <c r="R78" s="156">
        <v>15</v>
      </c>
      <c r="S78" s="128">
        <v>50</v>
      </c>
      <c r="T78" s="156"/>
      <c r="U78" s="156">
        <v>5</v>
      </c>
      <c r="V78" s="99">
        <f t="shared" si="1"/>
        <v>3.5</v>
      </c>
      <c r="W78" s="156"/>
    </row>
    <row r="79" spans="1:23" x14ac:dyDescent="0.25">
      <c r="A79" s="382"/>
      <c r="B79" s="379"/>
      <c r="C79" s="103" t="s">
        <v>45</v>
      </c>
      <c r="D79" s="102">
        <v>2</v>
      </c>
      <c r="H79" s="159" t="s">
        <v>380</v>
      </c>
      <c r="I79" s="104">
        <v>45395</v>
      </c>
      <c r="J79" s="103" t="s">
        <v>291</v>
      </c>
      <c r="M79" s="108">
        <v>0.43</v>
      </c>
      <c r="N79" s="130"/>
      <c r="O79" s="134">
        <f t="shared" ref="O79:O83" si="3">((Q79*R79)/(M79*S79))*100</f>
        <v>80.860465116279073</v>
      </c>
      <c r="Q79" s="161">
        <v>1.159</v>
      </c>
      <c r="R79" s="161">
        <v>15</v>
      </c>
      <c r="S79" s="161">
        <v>50</v>
      </c>
      <c r="T79" s="161"/>
      <c r="U79" s="161">
        <v>5</v>
      </c>
      <c r="V79" s="99">
        <f t="shared" si="1"/>
        <v>4.3</v>
      </c>
      <c r="W79" s="161"/>
    </row>
    <row r="80" spans="1:23" x14ac:dyDescent="0.25">
      <c r="A80" s="382"/>
      <c r="B80" s="379"/>
      <c r="C80" s="103" t="s">
        <v>45</v>
      </c>
      <c r="D80" s="102">
        <v>3</v>
      </c>
      <c r="H80" s="159" t="s">
        <v>383</v>
      </c>
      <c r="I80" s="104">
        <v>45395</v>
      </c>
      <c r="J80" s="103" t="s">
        <v>292</v>
      </c>
      <c r="M80" s="108">
        <v>0.51</v>
      </c>
      <c r="N80" s="130"/>
      <c r="O80" s="134">
        <f t="shared" si="3"/>
        <v>82.823529411764696</v>
      </c>
      <c r="Q80" s="161">
        <v>1.4079999999999999</v>
      </c>
      <c r="R80" s="161">
        <v>15</v>
      </c>
      <c r="S80" s="161">
        <v>50</v>
      </c>
      <c r="T80" s="161"/>
      <c r="U80" s="161">
        <v>5</v>
      </c>
      <c r="V80" s="99">
        <f t="shared" si="1"/>
        <v>5.0999999999999996</v>
      </c>
      <c r="W80" s="161"/>
    </row>
    <row r="81" spans="1:23" x14ac:dyDescent="0.25">
      <c r="A81" s="382"/>
      <c r="B81" s="379"/>
      <c r="C81" s="103" t="s">
        <v>45</v>
      </c>
      <c r="D81" s="102">
        <v>4</v>
      </c>
      <c r="H81" s="159" t="s">
        <v>383</v>
      </c>
      <c r="I81" s="104">
        <v>45395</v>
      </c>
      <c r="J81" s="103" t="s">
        <v>293</v>
      </c>
      <c r="M81" s="108">
        <v>0.33</v>
      </c>
      <c r="N81" s="130"/>
      <c r="O81" s="134">
        <f t="shared" si="3"/>
        <v>81.090909090909093</v>
      </c>
      <c r="Q81" s="161">
        <v>0.89200000000000002</v>
      </c>
      <c r="R81" s="161">
        <v>15</v>
      </c>
      <c r="S81" s="161">
        <v>50</v>
      </c>
      <c r="T81" s="161"/>
      <c r="U81" s="161">
        <v>5</v>
      </c>
      <c r="V81" s="99">
        <f t="shared" si="1"/>
        <v>3.3</v>
      </c>
      <c r="W81" s="161"/>
    </row>
    <row r="82" spans="1:23" x14ac:dyDescent="0.25">
      <c r="A82" s="382"/>
      <c r="B82" s="379"/>
      <c r="C82" s="103" t="s">
        <v>45</v>
      </c>
      <c r="D82" s="102">
        <v>5</v>
      </c>
      <c r="H82" s="159" t="s">
        <v>386</v>
      </c>
      <c r="I82" s="104">
        <v>45395</v>
      </c>
      <c r="J82" s="103" t="s">
        <v>294</v>
      </c>
      <c r="M82" s="108">
        <v>0.8</v>
      </c>
      <c r="N82" s="130"/>
      <c r="O82" s="134">
        <f t="shared" si="3"/>
        <v>73.425000000000011</v>
      </c>
      <c r="Q82" s="161">
        <v>1.958</v>
      </c>
      <c r="R82" s="161">
        <v>15</v>
      </c>
      <c r="S82" s="161">
        <v>50</v>
      </c>
      <c r="T82" s="161"/>
      <c r="U82" s="161">
        <v>5</v>
      </c>
      <c r="V82" s="99">
        <f t="shared" si="1"/>
        <v>8</v>
      </c>
      <c r="W82" s="161"/>
    </row>
    <row r="83" spans="1:23" s="146" customFormat="1" x14ac:dyDescent="0.25">
      <c r="A83" s="383"/>
      <c r="B83" s="391"/>
      <c r="C83" s="119" t="s">
        <v>45</v>
      </c>
      <c r="D83" s="110">
        <v>6</v>
      </c>
      <c r="E83" s="140"/>
      <c r="F83" s="141"/>
      <c r="G83" s="141"/>
      <c r="H83" s="164" t="s">
        <v>386</v>
      </c>
      <c r="I83" s="165">
        <v>45395</v>
      </c>
      <c r="J83" s="119" t="s">
        <v>295</v>
      </c>
      <c r="K83" s="166"/>
      <c r="L83" s="143"/>
      <c r="M83" s="123">
        <v>0.56000000000000005</v>
      </c>
      <c r="N83" s="144"/>
      <c r="O83" s="145">
        <f t="shared" si="3"/>
        <v>83.624999999999986</v>
      </c>
      <c r="Q83" s="167">
        <v>1.5609999999999999</v>
      </c>
      <c r="R83" s="167">
        <v>15</v>
      </c>
      <c r="S83" s="167">
        <v>50</v>
      </c>
      <c r="T83" s="167"/>
      <c r="U83" s="167">
        <v>5</v>
      </c>
      <c r="V83" s="99">
        <f t="shared" si="1"/>
        <v>5.6000000000000005</v>
      </c>
      <c r="W83" s="167"/>
    </row>
    <row r="84" spans="1:23" s="155" customFormat="1" ht="15" customHeight="1" x14ac:dyDescent="0.25">
      <c r="A84" s="381" t="s">
        <v>392</v>
      </c>
      <c r="B84" s="125"/>
      <c r="C84" s="149"/>
      <c r="D84" s="153"/>
      <c r="E84" s="149"/>
      <c r="F84" s="150"/>
      <c r="G84" s="150"/>
      <c r="H84" s="168"/>
      <c r="I84" s="125"/>
      <c r="J84" s="124" t="s">
        <v>393</v>
      </c>
      <c r="K84" s="153"/>
      <c r="L84" s="154"/>
      <c r="M84" s="130">
        <v>0.35</v>
      </c>
      <c r="N84" s="130"/>
      <c r="O84" s="134">
        <f>((Q84*R84)/(M84*S84))*100</f>
        <v>73.918937876648755</v>
      </c>
      <c r="Q84" s="156">
        <v>1.1539999999999999</v>
      </c>
      <c r="R84" s="156">
        <v>10.73</v>
      </c>
      <c r="S84" s="156">
        <v>47.860999999999997</v>
      </c>
      <c r="T84" s="156"/>
      <c r="U84" s="156">
        <v>3.4</v>
      </c>
      <c r="V84" s="99">
        <f t="shared" si="1"/>
        <v>4.9268676470588231</v>
      </c>
      <c r="W84" s="156" t="s">
        <v>394</v>
      </c>
    </row>
    <row r="85" spans="1:23" ht="15" customHeight="1" x14ac:dyDescent="0.25">
      <c r="A85" s="382"/>
      <c r="H85" s="169"/>
      <c r="J85" s="103" t="s">
        <v>395</v>
      </c>
      <c r="M85" s="108">
        <v>0.43</v>
      </c>
      <c r="N85" s="130"/>
      <c r="O85" s="134">
        <f t="shared" ref="O85:O96" si="4">((Q85*R85)/(M85*S85))*100</f>
        <v>70.494957003399193</v>
      </c>
      <c r="Q85" s="161">
        <v>1.2250000000000001</v>
      </c>
      <c r="R85" s="161">
        <v>10.73</v>
      </c>
      <c r="S85" s="161">
        <v>43.362000000000002</v>
      </c>
      <c r="T85" s="161"/>
      <c r="U85" s="161">
        <v>3.4</v>
      </c>
      <c r="V85" s="99">
        <f t="shared" si="1"/>
        <v>5.4840176470588231</v>
      </c>
      <c r="W85" s="156" t="s">
        <v>394</v>
      </c>
    </row>
    <row r="86" spans="1:23" ht="15" customHeight="1" x14ac:dyDescent="0.25">
      <c r="A86" s="382"/>
      <c r="H86" s="169"/>
      <c r="J86" s="103" t="s">
        <v>396</v>
      </c>
      <c r="M86" s="108">
        <v>0.51</v>
      </c>
      <c r="N86" s="130"/>
      <c r="O86" s="134">
        <f t="shared" si="4"/>
        <v>75.558441286430906</v>
      </c>
      <c r="Q86" s="161">
        <v>1.48</v>
      </c>
      <c r="R86" s="161">
        <v>11.7</v>
      </c>
      <c r="S86" s="161">
        <v>44.936</v>
      </c>
      <c r="T86" s="161"/>
      <c r="U86" s="161">
        <v>3.4</v>
      </c>
      <c r="V86" s="99">
        <f t="shared" si="1"/>
        <v>6.7404000000000002</v>
      </c>
      <c r="W86" s="156" t="s">
        <v>394</v>
      </c>
    </row>
    <row r="87" spans="1:23" x14ac:dyDescent="0.25">
      <c r="A87" s="382"/>
      <c r="H87" s="169"/>
      <c r="J87" s="103" t="s">
        <v>397</v>
      </c>
      <c r="M87" s="108">
        <v>0.33</v>
      </c>
      <c r="N87" s="130"/>
      <c r="O87" s="134">
        <f t="shared" si="4"/>
        <v>67.492894830402932</v>
      </c>
      <c r="Q87" s="161">
        <v>0.96899999999999997</v>
      </c>
      <c r="R87" s="161">
        <v>9.58</v>
      </c>
      <c r="S87" s="161">
        <v>41.679000000000002</v>
      </c>
      <c r="T87" s="161"/>
      <c r="U87" s="161">
        <v>3.4</v>
      </c>
      <c r="V87" s="99">
        <f t="shared" si="1"/>
        <v>4.0453147058823529</v>
      </c>
      <c r="W87" s="156" t="s">
        <v>394</v>
      </c>
    </row>
    <row r="88" spans="1:23" s="146" customFormat="1" x14ac:dyDescent="0.25">
      <c r="A88" s="382"/>
      <c r="B88" s="110"/>
      <c r="C88" s="140"/>
      <c r="D88" s="166"/>
      <c r="E88" s="140"/>
      <c r="F88" s="141"/>
      <c r="G88" s="141"/>
      <c r="H88" s="170"/>
      <c r="I88" s="110"/>
      <c r="J88" s="111" t="s">
        <v>398</v>
      </c>
      <c r="K88" s="166"/>
      <c r="L88" s="143"/>
      <c r="M88" s="123">
        <v>0.8</v>
      </c>
      <c r="N88" s="144"/>
      <c r="O88" s="145">
        <f t="shared" si="4"/>
        <v>76.64128230425608</v>
      </c>
      <c r="Q88" s="167">
        <v>1.7170000000000001</v>
      </c>
      <c r="R88" s="167">
        <v>13.03</v>
      </c>
      <c r="S88" s="167">
        <v>36.488999999999997</v>
      </c>
      <c r="T88" s="167"/>
      <c r="U88" s="167">
        <v>3.4</v>
      </c>
      <c r="V88" s="99">
        <f t="shared" si="1"/>
        <v>8.585647058823529</v>
      </c>
      <c r="W88" s="171" t="s">
        <v>394</v>
      </c>
    </row>
    <row r="89" spans="1:23" s="155" customFormat="1" x14ac:dyDescent="0.25">
      <c r="A89" s="382"/>
      <c r="B89" s="125"/>
      <c r="C89" s="149"/>
      <c r="D89" s="153"/>
      <c r="E89" s="149"/>
      <c r="F89" s="150"/>
      <c r="G89" s="150"/>
      <c r="H89" s="168"/>
      <c r="I89" s="125"/>
      <c r="J89" s="172" t="s">
        <v>399</v>
      </c>
      <c r="K89" s="153"/>
      <c r="L89" s="154"/>
      <c r="M89" s="130">
        <v>0.92</v>
      </c>
      <c r="N89" s="130"/>
      <c r="O89" s="145"/>
      <c r="P89" s="130"/>
      <c r="Q89" s="130">
        <v>1.367</v>
      </c>
      <c r="R89" s="130"/>
      <c r="S89" s="130"/>
      <c r="T89" s="130"/>
      <c r="U89" s="130"/>
      <c r="V89" s="99"/>
    </row>
    <row r="90" spans="1:23" x14ac:dyDescent="0.25">
      <c r="A90" s="382"/>
      <c r="H90" s="169"/>
      <c r="J90" s="173" t="s">
        <v>400</v>
      </c>
      <c r="M90" s="108">
        <v>0.44</v>
      </c>
      <c r="N90" s="108"/>
      <c r="O90" s="145"/>
      <c r="P90" s="108"/>
      <c r="Q90" s="108">
        <v>1.0049999999999999</v>
      </c>
      <c r="R90" s="108"/>
      <c r="S90" s="108"/>
      <c r="T90" s="108"/>
      <c r="U90" s="108"/>
      <c r="V90" s="99"/>
    </row>
    <row r="91" spans="1:23" x14ac:dyDescent="0.25">
      <c r="A91" s="382"/>
      <c r="H91" s="169"/>
      <c r="J91" s="173" t="s">
        <v>401</v>
      </c>
      <c r="M91" s="108">
        <v>0.35</v>
      </c>
      <c r="N91" s="108"/>
      <c r="O91" s="145"/>
      <c r="P91" s="108"/>
      <c r="Q91" s="108">
        <v>0.85799999999999998</v>
      </c>
      <c r="R91" s="108"/>
      <c r="S91" s="108"/>
      <c r="T91" s="108"/>
      <c r="U91" s="108"/>
      <c r="V91" s="99"/>
    </row>
    <row r="92" spans="1:23" s="180" customFormat="1" x14ac:dyDescent="0.25">
      <c r="A92" s="382"/>
      <c r="B92" s="112"/>
      <c r="C92" s="174"/>
      <c r="D92" s="175"/>
      <c r="E92" s="174"/>
      <c r="F92" s="176"/>
      <c r="G92" s="176"/>
      <c r="H92" s="177"/>
      <c r="I92" s="112"/>
      <c r="J92" s="178" t="s">
        <v>402</v>
      </c>
      <c r="K92" s="175"/>
      <c r="L92" s="179"/>
      <c r="M92" s="118">
        <v>0.48</v>
      </c>
      <c r="N92" s="118"/>
      <c r="O92" s="145"/>
      <c r="P92" s="118"/>
      <c r="Q92" s="118">
        <v>0.94099999999999995</v>
      </c>
      <c r="R92" s="118"/>
      <c r="S92" s="118"/>
      <c r="T92" s="118"/>
      <c r="U92" s="118"/>
      <c r="V92" s="99"/>
    </row>
    <row r="93" spans="1:23" s="186" customFormat="1" x14ac:dyDescent="0.25">
      <c r="A93" s="382"/>
      <c r="B93" s="93"/>
      <c r="C93" s="181"/>
      <c r="D93" s="182"/>
      <c r="E93" s="181"/>
      <c r="F93" s="183"/>
      <c r="G93" s="183"/>
      <c r="H93" s="184"/>
      <c r="I93" s="93"/>
      <c r="J93" s="172" t="s">
        <v>296</v>
      </c>
      <c r="K93" s="182"/>
      <c r="L93" s="185"/>
      <c r="M93" s="100">
        <v>1.39</v>
      </c>
      <c r="N93" s="100"/>
      <c r="O93" s="145">
        <f t="shared" si="4"/>
        <v>77.309352517985602</v>
      </c>
      <c r="P93" s="100"/>
      <c r="Q93" s="100">
        <v>3.5819999999999999</v>
      </c>
      <c r="R93" s="100">
        <v>15</v>
      </c>
      <c r="S93" s="100">
        <v>50</v>
      </c>
      <c r="T93" s="100"/>
      <c r="U93" s="100">
        <v>5</v>
      </c>
      <c r="V93" s="99">
        <f t="shared" si="1"/>
        <v>13.9</v>
      </c>
    </row>
    <row r="94" spans="1:23" x14ac:dyDescent="0.25">
      <c r="A94" s="382"/>
      <c r="H94" s="169"/>
      <c r="J94" s="173" t="s">
        <v>297</v>
      </c>
      <c r="M94" s="108">
        <v>0.61</v>
      </c>
      <c r="N94" s="108"/>
      <c r="O94" s="145">
        <f t="shared" si="4"/>
        <v>83.163934426229517</v>
      </c>
      <c r="P94" s="108"/>
      <c r="Q94" s="108">
        <v>1.6910000000000001</v>
      </c>
      <c r="R94" s="108">
        <v>15</v>
      </c>
      <c r="S94" s="108">
        <v>50</v>
      </c>
      <c r="T94" s="108"/>
      <c r="U94" s="108">
        <v>5</v>
      </c>
      <c r="V94" s="99">
        <f t="shared" si="1"/>
        <v>6.1</v>
      </c>
    </row>
    <row r="95" spans="1:23" x14ac:dyDescent="0.25">
      <c r="A95" s="382"/>
      <c r="H95" s="169"/>
      <c r="J95" s="173" t="s">
        <v>298</v>
      </c>
      <c r="M95" s="108">
        <v>0.54</v>
      </c>
      <c r="N95" s="108"/>
      <c r="O95" s="145">
        <f t="shared" si="4"/>
        <v>77.333333333333329</v>
      </c>
      <c r="P95" s="108"/>
      <c r="Q95" s="108">
        <v>1.3919999999999999</v>
      </c>
      <c r="R95" s="108">
        <v>15</v>
      </c>
      <c r="S95" s="108">
        <v>50</v>
      </c>
      <c r="T95" s="108"/>
      <c r="U95" s="108">
        <v>5</v>
      </c>
      <c r="V95" s="99">
        <f t="shared" si="1"/>
        <v>5.4</v>
      </c>
    </row>
    <row r="96" spans="1:23" s="146" customFormat="1" x14ac:dyDescent="0.25">
      <c r="A96" s="382"/>
      <c r="B96" s="110"/>
      <c r="C96" s="140"/>
      <c r="D96" s="166"/>
      <c r="E96" s="140"/>
      <c r="F96" s="141"/>
      <c r="G96" s="141"/>
      <c r="H96" s="170"/>
      <c r="I96" s="110"/>
      <c r="J96" s="187" t="s">
        <v>299</v>
      </c>
      <c r="K96" s="166"/>
      <c r="L96" s="143"/>
      <c r="M96" s="123">
        <v>0.71</v>
      </c>
      <c r="N96" s="123"/>
      <c r="O96" s="145">
        <f t="shared" si="4"/>
        <v>82.267605633802816</v>
      </c>
      <c r="P96" s="123"/>
      <c r="Q96" s="123">
        <v>1.9470000000000001</v>
      </c>
      <c r="R96" s="123">
        <v>15</v>
      </c>
      <c r="S96" s="123">
        <v>50</v>
      </c>
      <c r="T96" s="123"/>
      <c r="U96" s="123">
        <v>5</v>
      </c>
      <c r="V96" s="99">
        <f t="shared" si="1"/>
        <v>7.1</v>
      </c>
    </row>
    <row r="97" spans="1:147" s="155" customFormat="1" x14ac:dyDescent="0.25">
      <c r="A97" s="382"/>
      <c r="B97" s="125"/>
      <c r="C97" s="149"/>
      <c r="D97" s="153"/>
      <c r="E97" s="149"/>
      <c r="F97" s="150"/>
      <c r="G97" s="150"/>
      <c r="H97" s="168"/>
      <c r="I97" s="125"/>
      <c r="J97" s="124" t="s">
        <v>403</v>
      </c>
      <c r="K97" s="153"/>
      <c r="L97" s="154"/>
      <c r="M97" s="100">
        <v>1.39</v>
      </c>
      <c r="N97" s="130"/>
      <c r="O97" s="130"/>
      <c r="P97" s="130"/>
      <c r="Q97" s="130">
        <v>2.492</v>
      </c>
      <c r="R97" s="130">
        <v>15.253</v>
      </c>
      <c r="S97" s="130">
        <v>45.4</v>
      </c>
      <c r="T97" s="130"/>
      <c r="U97" s="130">
        <v>3.4</v>
      </c>
      <c r="V97" s="99">
        <f t="shared" si="1"/>
        <v>18.560588235294116</v>
      </c>
    </row>
    <row r="98" spans="1:147" x14ac:dyDescent="0.25">
      <c r="A98" s="382"/>
      <c r="H98" s="169"/>
      <c r="J98" s="103" t="s">
        <v>404</v>
      </c>
      <c r="M98" s="108">
        <v>0.61</v>
      </c>
      <c r="N98" s="108"/>
      <c r="O98" s="108"/>
      <c r="P98" s="108"/>
      <c r="Q98" s="108">
        <v>1.548</v>
      </c>
      <c r="R98" s="108">
        <v>11.465</v>
      </c>
      <c r="S98" s="108">
        <v>46.55</v>
      </c>
      <c r="T98" s="108"/>
      <c r="U98" s="108">
        <v>3.4</v>
      </c>
      <c r="V98" s="99">
        <f t="shared" si="1"/>
        <v>8.3516176470588235</v>
      </c>
    </row>
    <row r="99" spans="1:147" x14ac:dyDescent="0.25">
      <c r="A99" s="382"/>
      <c r="H99" s="169"/>
      <c r="J99" s="103" t="s">
        <v>405</v>
      </c>
      <c r="M99" s="108">
        <v>0.54</v>
      </c>
      <c r="N99" s="108"/>
      <c r="O99" s="108"/>
      <c r="P99" s="108"/>
      <c r="Q99" s="108">
        <v>1.3620000000000001</v>
      </c>
      <c r="R99" s="108">
        <v>10.956</v>
      </c>
      <c r="S99" s="108">
        <v>48.098999999999997</v>
      </c>
      <c r="T99" s="108"/>
      <c r="U99" s="108">
        <v>3.4</v>
      </c>
      <c r="V99" s="99">
        <f t="shared" si="1"/>
        <v>7.6392529411764709</v>
      </c>
    </row>
    <row r="100" spans="1:147" x14ac:dyDescent="0.25">
      <c r="A100" s="382"/>
      <c r="B100" s="112"/>
      <c r="C100" s="174"/>
      <c r="D100" s="175"/>
      <c r="E100" s="174"/>
      <c r="F100" s="176"/>
      <c r="G100" s="176"/>
      <c r="H100" s="177"/>
      <c r="I100" s="112"/>
      <c r="J100" s="111" t="s">
        <v>406</v>
      </c>
      <c r="K100" s="175"/>
      <c r="L100" s="179"/>
      <c r="M100" s="118"/>
      <c r="N100" s="118"/>
      <c r="O100" s="118"/>
      <c r="P100" s="118"/>
      <c r="Q100" s="118" t="s">
        <v>407</v>
      </c>
      <c r="R100" s="118"/>
      <c r="S100" s="118"/>
      <c r="T100" s="118"/>
      <c r="U100" s="118"/>
      <c r="V100" s="99" t="e">
        <f t="shared" si="1"/>
        <v>#DIV/0!</v>
      </c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  <c r="AN100" s="180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180"/>
      <c r="BA100" s="180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80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80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80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80"/>
      <c r="CT100" s="180"/>
      <c r="CU100" s="180"/>
      <c r="CV100" s="180"/>
      <c r="CW100" s="180"/>
      <c r="CX100" s="180"/>
      <c r="CY100" s="180"/>
      <c r="CZ100" s="180"/>
      <c r="DA100" s="180"/>
      <c r="DB100" s="180"/>
      <c r="DC100" s="180"/>
      <c r="DD100" s="180"/>
      <c r="DE100" s="180"/>
      <c r="DF100" s="180"/>
      <c r="DG100" s="180"/>
      <c r="DH100" s="180"/>
      <c r="DI100" s="180"/>
      <c r="DJ100" s="180"/>
      <c r="DK100" s="180"/>
      <c r="DL100" s="180"/>
      <c r="DM100" s="180"/>
      <c r="DN100" s="180"/>
      <c r="DO100" s="180"/>
      <c r="DP100" s="180"/>
      <c r="DQ100" s="180"/>
      <c r="DR100" s="180"/>
      <c r="DS100" s="180"/>
      <c r="DT100" s="180"/>
      <c r="DU100" s="180"/>
      <c r="DV100" s="180"/>
      <c r="DW100" s="180"/>
      <c r="DX100" s="180"/>
      <c r="DY100" s="180"/>
      <c r="DZ100" s="180"/>
      <c r="EA100" s="180"/>
      <c r="EB100" s="180"/>
      <c r="EC100" s="180"/>
      <c r="ED100" s="180"/>
      <c r="EE100" s="180"/>
      <c r="EF100" s="180"/>
      <c r="EG100" s="180"/>
      <c r="EH100" s="180"/>
      <c r="EI100" s="180"/>
      <c r="EJ100" s="180"/>
      <c r="EK100" s="180"/>
      <c r="EL100" s="180"/>
      <c r="EM100" s="180"/>
      <c r="EN100" s="180"/>
      <c r="EO100" s="180"/>
      <c r="EP100" s="180"/>
    </row>
    <row r="101" spans="1:147" x14ac:dyDescent="0.25">
      <c r="A101" s="381" t="s">
        <v>408</v>
      </c>
      <c r="B101" s="93"/>
      <c r="C101" s="181"/>
      <c r="D101" s="182"/>
      <c r="E101" s="181"/>
      <c r="F101" s="183"/>
      <c r="G101" s="183"/>
      <c r="H101" s="184"/>
      <c r="I101" s="93"/>
      <c r="J101" s="94" t="s">
        <v>305</v>
      </c>
      <c r="K101" s="182"/>
      <c r="L101" s="185"/>
      <c r="M101" s="100">
        <v>0.16700000000000001</v>
      </c>
      <c r="N101" s="100"/>
      <c r="O101" s="100"/>
      <c r="P101" s="100"/>
      <c r="Q101" s="100">
        <v>-5.0999999999999997E-2</v>
      </c>
      <c r="R101" s="100">
        <v>15</v>
      </c>
      <c r="S101" s="100">
        <f>49.56-14.16</f>
        <v>35.400000000000006</v>
      </c>
      <c r="T101" s="100"/>
      <c r="U101" s="100">
        <v>4.7</v>
      </c>
      <c r="V101" s="99">
        <f t="shared" si="1"/>
        <v>1.2578297872340427</v>
      </c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  <c r="BW101" s="186"/>
      <c r="BX101" s="186"/>
      <c r="BY101" s="186"/>
      <c r="BZ101" s="186"/>
      <c r="CA101" s="186"/>
      <c r="CB101" s="186"/>
      <c r="CC101" s="186"/>
      <c r="CD101" s="186"/>
      <c r="CE101" s="186"/>
      <c r="CF101" s="186"/>
      <c r="CG101" s="186"/>
      <c r="CH101" s="186"/>
      <c r="CI101" s="186"/>
      <c r="CJ101" s="186"/>
      <c r="CK101" s="186"/>
      <c r="CL101" s="186"/>
      <c r="CM101" s="186"/>
      <c r="CN101" s="186"/>
      <c r="CO101" s="186"/>
      <c r="CP101" s="186"/>
      <c r="CQ101" s="186"/>
      <c r="CR101" s="186"/>
      <c r="CS101" s="186"/>
      <c r="CT101" s="186"/>
      <c r="CU101" s="186"/>
      <c r="CV101" s="186"/>
      <c r="CW101" s="186"/>
      <c r="CX101" s="186"/>
      <c r="CY101" s="186"/>
      <c r="CZ101" s="186"/>
      <c r="DA101" s="186"/>
      <c r="DB101" s="186"/>
      <c r="DC101" s="186"/>
      <c r="DD101" s="186"/>
      <c r="DE101" s="186"/>
      <c r="DF101" s="186"/>
      <c r="DG101" s="186"/>
      <c r="DH101" s="186"/>
      <c r="DI101" s="186"/>
      <c r="DJ101" s="186"/>
      <c r="DK101" s="186"/>
      <c r="DL101" s="186"/>
      <c r="DM101" s="186"/>
      <c r="DN101" s="186"/>
      <c r="DO101" s="186"/>
      <c r="DP101" s="186"/>
      <c r="DQ101" s="186"/>
      <c r="DR101" s="186"/>
      <c r="DS101" s="186"/>
      <c r="DT101" s="186"/>
      <c r="DU101" s="186"/>
      <c r="DV101" s="186"/>
      <c r="DW101" s="186"/>
      <c r="DX101" s="186"/>
      <c r="DY101" s="186"/>
      <c r="DZ101" s="186"/>
      <c r="EA101" s="186"/>
      <c r="EB101" s="186"/>
      <c r="EC101" s="186"/>
      <c r="ED101" s="186"/>
      <c r="EE101" s="186"/>
      <c r="EF101" s="186"/>
      <c r="EG101" s="186"/>
      <c r="EH101" s="186"/>
      <c r="EI101" s="186"/>
      <c r="EJ101" s="186"/>
      <c r="EK101" s="186"/>
      <c r="EL101" s="186"/>
      <c r="EM101" s="186"/>
      <c r="EN101" s="186"/>
      <c r="EO101" s="186"/>
      <c r="EP101" s="188"/>
      <c r="EQ101" s="138"/>
    </row>
    <row r="102" spans="1:147" x14ac:dyDescent="0.25">
      <c r="A102" s="382"/>
      <c r="H102" s="169"/>
      <c r="J102" s="103" t="s">
        <v>409</v>
      </c>
      <c r="M102" s="108">
        <v>0.20499999999999999</v>
      </c>
      <c r="N102" s="108"/>
      <c r="O102" s="108"/>
      <c r="P102" s="108"/>
      <c r="Q102" s="108">
        <v>0.17199999999999999</v>
      </c>
      <c r="R102" s="108">
        <v>15</v>
      </c>
      <c r="S102" s="108">
        <f>58.95-14.23</f>
        <v>44.72</v>
      </c>
      <c r="T102" s="108"/>
      <c r="U102" s="108">
        <v>4.7</v>
      </c>
      <c r="V102" s="99">
        <f t="shared" si="1"/>
        <v>1.9505531914893612</v>
      </c>
      <c r="EP102" s="189"/>
      <c r="EQ102" s="138"/>
    </row>
    <row r="103" spans="1:147" x14ac:dyDescent="0.25">
      <c r="A103" s="382"/>
      <c r="H103" s="169"/>
      <c r="J103" s="103" t="s">
        <v>410</v>
      </c>
      <c r="M103" s="108">
        <v>0.26300000000000001</v>
      </c>
      <c r="N103" s="108"/>
      <c r="O103" s="108"/>
      <c r="P103" s="108"/>
      <c r="Q103" s="108">
        <v>0.315</v>
      </c>
      <c r="R103" s="108">
        <v>14.991</v>
      </c>
      <c r="S103" s="108">
        <f>51.87-14.23</f>
        <v>37.64</v>
      </c>
      <c r="T103" s="108"/>
      <c r="U103" s="108">
        <v>4.7</v>
      </c>
      <c r="V103" s="99">
        <f t="shared" si="1"/>
        <v>2.1062382978723404</v>
      </c>
      <c r="EP103" s="189"/>
      <c r="EQ103" s="138"/>
    </row>
    <row r="104" spans="1:147" s="180" customFormat="1" x14ac:dyDescent="0.25">
      <c r="A104" s="383"/>
      <c r="B104" s="112"/>
      <c r="C104" s="174"/>
      <c r="D104" s="175"/>
      <c r="E104" s="174"/>
      <c r="F104" s="176"/>
      <c r="G104" s="176"/>
      <c r="H104" s="177"/>
      <c r="I104" s="112"/>
      <c r="J104" s="111" t="s">
        <v>411</v>
      </c>
      <c r="K104" s="175"/>
      <c r="L104" s="179"/>
      <c r="M104" s="118">
        <v>0.23699999999999999</v>
      </c>
      <c r="N104" s="118"/>
      <c r="O104" s="118"/>
      <c r="P104" s="118"/>
      <c r="Q104" s="118">
        <v>0.22600000000000001</v>
      </c>
      <c r="R104" s="118">
        <v>14.996</v>
      </c>
      <c r="S104" s="118">
        <f>53.16-14.18</f>
        <v>38.979999999999997</v>
      </c>
      <c r="T104" s="118"/>
      <c r="U104" s="118">
        <v>4.7</v>
      </c>
      <c r="V104" s="99">
        <f t="shared" si="1"/>
        <v>1.9655872340425529</v>
      </c>
      <c r="Z104" s="180" t="s">
        <v>310</v>
      </c>
      <c r="EP104" s="190"/>
      <c r="EQ104" s="179"/>
    </row>
    <row r="105" spans="1:147" s="204" customFormat="1" x14ac:dyDescent="0.25">
      <c r="A105" s="381" t="s">
        <v>408</v>
      </c>
      <c r="B105" s="148"/>
      <c r="C105" s="191"/>
      <c r="D105" s="192"/>
      <c r="E105" s="191"/>
      <c r="F105" s="193"/>
      <c r="G105" s="193"/>
      <c r="H105" s="194"/>
      <c r="I105" s="148"/>
      <c r="J105" s="195" t="s">
        <v>412</v>
      </c>
      <c r="K105" s="192"/>
      <c r="L105" s="196"/>
      <c r="M105" s="197">
        <v>0.22500000000000001</v>
      </c>
      <c r="N105" s="198">
        <v>1.3080000000000001</v>
      </c>
      <c r="O105" s="196"/>
      <c r="P105" s="199"/>
      <c r="Q105" s="200">
        <v>0.92500000000000004</v>
      </c>
      <c r="R105" s="200">
        <v>8.3000000000000007</v>
      </c>
      <c r="S105" s="200">
        <f>39.85-14.25</f>
        <v>25.6</v>
      </c>
      <c r="T105" s="201"/>
      <c r="U105" s="195">
        <v>5</v>
      </c>
      <c r="V105" s="202">
        <f>(S105*M105)/U105</f>
        <v>1.1520000000000001</v>
      </c>
      <c r="W105" s="196"/>
      <c r="X105" s="199">
        <f>((Q105*R105)/(M105*S105))*100</f>
        <v>133.28993055555557</v>
      </c>
      <c r="Y105" s="203">
        <f>(R105*N105)/(S105*M105)</f>
        <v>1.8847916666666666</v>
      </c>
      <c r="Z105" s="196"/>
    </row>
    <row r="106" spans="1:147" s="218" customFormat="1" x14ac:dyDescent="0.25">
      <c r="A106" s="382"/>
      <c r="B106" s="158"/>
      <c r="C106" s="205"/>
      <c r="D106" s="206"/>
      <c r="E106" s="205"/>
      <c r="F106" s="207"/>
      <c r="G106" s="207"/>
      <c r="H106" s="208"/>
      <c r="I106" s="158"/>
      <c r="J106" s="209" t="s">
        <v>413</v>
      </c>
      <c r="K106" s="206"/>
      <c r="L106" s="210"/>
      <c r="M106" s="211">
        <v>0.251</v>
      </c>
      <c r="N106" s="212">
        <v>1.4350000000000001</v>
      </c>
      <c r="O106" s="210"/>
      <c r="P106" s="213"/>
      <c r="Q106" s="214">
        <v>1.0389999999999999</v>
      </c>
      <c r="R106" s="214">
        <v>8.5</v>
      </c>
      <c r="S106" s="214">
        <f>41.2-14.34</f>
        <v>26.860000000000003</v>
      </c>
      <c r="T106" s="215"/>
      <c r="U106" s="209">
        <v>5</v>
      </c>
      <c r="V106" s="216">
        <f t="shared" ref="V106:V120" si="5">(S106*M106)/U106</f>
        <v>1.3483720000000001</v>
      </c>
      <c r="W106" s="210"/>
      <c r="X106" s="213">
        <f t="shared" ref="X106:X119" si="6">((Q106*R106)/(M106*S106))*100</f>
        <v>130.99500731252206</v>
      </c>
      <c r="Y106" s="217">
        <f t="shared" ref="Y106:Y119" si="7">(R106*N106)/(S106*M106)</f>
        <v>1.809218820918856</v>
      </c>
      <c r="Z106" s="210"/>
    </row>
    <row r="107" spans="1:147" s="218" customFormat="1" x14ac:dyDescent="0.25">
      <c r="A107" s="382"/>
      <c r="B107" s="158"/>
      <c r="C107" s="205"/>
      <c r="D107" s="206"/>
      <c r="E107" s="205"/>
      <c r="F107" s="207"/>
      <c r="G107" s="207"/>
      <c r="H107" s="208"/>
      <c r="I107" s="158"/>
      <c r="J107" s="209" t="s">
        <v>414</v>
      </c>
      <c r="K107" s="206"/>
      <c r="L107" s="210"/>
      <c r="M107" s="211">
        <v>0.254</v>
      </c>
      <c r="N107" s="212">
        <v>1.1279999999999999</v>
      </c>
      <c r="O107" s="210"/>
      <c r="P107" s="213"/>
      <c r="Q107" s="214">
        <v>0.71799999999999997</v>
      </c>
      <c r="R107" s="214">
        <v>8.1820000000000004</v>
      </c>
      <c r="S107" s="214">
        <f>33.84-14.26</f>
        <v>19.580000000000005</v>
      </c>
      <c r="T107" s="215"/>
      <c r="U107" s="209">
        <v>5</v>
      </c>
      <c r="V107" s="216">
        <f t="shared" si="5"/>
        <v>0.99466400000000021</v>
      </c>
      <c r="W107" s="210"/>
      <c r="X107" s="213">
        <f t="shared" si="6"/>
        <v>118.1238287502111</v>
      </c>
      <c r="Y107" s="217">
        <f t="shared" si="7"/>
        <v>1.8557615435966313</v>
      </c>
      <c r="Z107" s="210"/>
    </row>
    <row r="108" spans="1:147" s="218" customFormat="1" x14ac:dyDescent="0.25">
      <c r="A108" s="382"/>
      <c r="B108" s="158"/>
      <c r="C108" s="205"/>
      <c r="D108" s="206"/>
      <c r="E108" s="205"/>
      <c r="F108" s="207"/>
      <c r="G108" s="207"/>
      <c r="H108" s="208"/>
      <c r="I108" s="158"/>
      <c r="J108" s="209" t="s">
        <v>415</v>
      </c>
      <c r="K108" s="206"/>
      <c r="L108" s="210"/>
      <c r="M108" s="211">
        <v>0.24299999999999999</v>
      </c>
      <c r="N108" s="212">
        <v>1.1020000000000001</v>
      </c>
      <c r="O108" s="210"/>
      <c r="P108" s="213"/>
      <c r="Q108" s="214">
        <v>0.68500000000000005</v>
      </c>
      <c r="R108" s="214">
        <v>8.6769999999999996</v>
      </c>
      <c r="S108" s="214">
        <f>34.15-14.39</f>
        <v>19.759999999999998</v>
      </c>
      <c r="T108" s="215"/>
      <c r="U108" s="209">
        <v>5</v>
      </c>
      <c r="V108" s="216">
        <f t="shared" si="5"/>
        <v>0.96033599999999986</v>
      </c>
      <c r="W108" s="210"/>
      <c r="X108" s="213">
        <f t="shared" si="6"/>
        <v>123.78469618966696</v>
      </c>
      <c r="Y108" s="217">
        <f t="shared" si="7"/>
        <v>1.9913975941753723</v>
      </c>
      <c r="Z108" s="210"/>
    </row>
    <row r="109" spans="1:147" s="218" customFormat="1" x14ac:dyDescent="0.25">
      <c r="A109" s="382"/>
      <c r="B109" s="158"/>
      <c r="C109" s="205"/>
      <c r="D109" s="206"/>
      <c r="E109" s="205"/>
      <c r="F109" s="207"/>
      <c r="G109" s="207"/>
      <c r="H109" s="208"/>
      <c r="I109" s="158"/>
      <c r="J109" s="209" t="s">
        <v>416</v>
      </c>
      <c r="K109" s="206"/>
      <c r="L109" s="210"/>
      <c r="M109" s="211">
        <v>0.27</v>
      </c>
      <c r="N109" s="212">
        <v>1.613</v>
      </c>
      <c r="O109" s="210"/>
      <c r="P109" s="213"/>
      <c r="Q109" s="214">
        <v>1.0249999999999999</v>
      </c>
      <c r="R109" s="214">
        <v>8.3919999999999995</v>
      </c>
      <c r="S109" s="214">
        <f>41.22-14.24</f>
        <v>26.979999999999997</v>
      </c>
      <c r="T109" s="215"/>
      <c r="U109" s="209">
        <v>5</v>
      </c>
      <c r="V109" s="216">
        <f t="shared" si="5"/>
        <v>1.4569199999999998</v>
      </c>
      <c r="W109" s="210"/>
      <c r="X109" s="213">
        <f t="shared" si="6"/>
        <v>118.08198116574691</v>
      </c>
      <c r="Y109" s="217">
        <f t="shared" si="7"/>
        <v>1.8582071767839001</v>
      </c>
      <c r="Z109" s="210"/>
    </row>
    <row r="110" spans="1:147" s="218" customFormat="1" x14ac:dyDescent="0.25">
      <c r="A110" s="382"/>
      <c r="B110" s="158"/>
      <c r="C110" s="205"/>
      <c r="D110" s="206"/>
      <c r="E110" s="205"/>
      <c r="F110" s="207"/>
      <c r="G110" s="207"/>
      <c r="H110" s="208"/>
      <c r="I110" s="158"/>
      <c r="J110" s="209" t="s">
        <v>417</v>
      </c>
      <c r="K110" s="206"/>
      <c r="L110" s="210"/>
      <c r="M110" s="211">
        <v>0.25600000000000001</v>
      </c>
      <c r="N110" s="212">
        <v>1.5269999999999999</v>
      </c>
      <c r="O110" s="210"/>
      <c r="P110" s="213"/>
      <c r="Q110" s="214">
        <v>1.0329999999999999</v>
      </c>
      <c r="R110" s="214">
        <v>8.4849999999999994</v>
      </c>
      <c r="S110" s="214">
        <f>40.83-14.32</f>
        <v>26.509999999999998</v>
      </c>
      <c r="T110" s="215"/>
      <c r="U110" s="209">
        <v>5</v>
      </c>
      <c r="V110" s="216">
        <f t="shared" si="5"/>
        <v>1.3573119999999999</v>
      </c>
      <c r="W110" s="210"/>
      <c r="X110" s="213">
        <f t="shared" si="6"/>
        <v>129.15239826952092</v>
      </c>
      <c r="Y110" s="217">
        <f t="shared" si="7"/>
        <v>1.9091550063655223</v>
      </c>
      <c r="Z110" s="210"/>
    </row>
    <row r="111" spans="1:147" s="218" customFormat="1" x14ac:dyDescent="0.25">
      <c r="A111" s="382"/>
      <c r="B111" s="158"/>
      <c r="C111" s="205"/>
      <c r="D111" s="206"/>
      <c r="E111" s="205"/>
      <c r="F111" s="207"/>
      <c r="G111" s="207"/>
      <c r="H111" s="208"/>
      <c r="I111" s="158"/>
      <c r="J111" s="209" t="s">
        <v>418</v>
      </c>
      <c r="K111" s="206"/>
      <c r="L111" s="210"/>
      <c r="M111" s="211">
        <v>0.14499999999999999</v>
      </c>
      <c r="N111" s="212">
        <v>1.6950000000000001</v>
      </c>
      <c r="O111" s="210"/>
      <c r="P111" s="213"/>
      <c r="Q111" s="214">
        <v>1.2330000000000001</v>
      </c>
      <c r="R111" s="214">
        <v>8.9909999999999997</v>
      </c>
      <c r="S111" s="214">
        <f>59.65-14.52</f>
        <v>45.129999999999995</v>
      </c>
      <c r="T111" s="215"/>
      <c r="U111" s="209">
        <v>5</v>
      </c>
      <c r="V111" s="216">
        <f t="shared" si="5"/>
        <v>1.3087699999999998</v>
      </c>
      <c r="W111" s="210"/>
      <c r="X111" s="213">
        <f t="shared" si="6"/>
        <v>169.40949135447789</v>
      </c>
      <c r="Y111" s="217">
        <f t="shared" si="7"/>
        <v>2.3288652704447688</v>
      </c>
      <c r="Z111" s="210"/>
    </row>
    <row r="112" spans="1:147" s="218" customFormat="1" x14ac:dyDescent="0.25">
      <c r="A112" s="382"/>
      <c r="B112" s="158"/>
      <c r="C112" s="205"/>
      <c r="D112" s="206"/>
      <c r="E112" s="205"/>
      <c r="F112" s="207"/>
      <c r="G112" s="207"/>
      <c r="H112" s="208"/>
      <c r="I112" s="158"/>
      <c r="J112" s="209" t="s">
        <v>419</v>
      </c>
      <c r="K112" s="206"/>
      <c r="L112" s="210"/>
      <c r="M112" s="211">
        <v>0.28199999999999997</v>
      </c>
      <c r="N112" s="212">
        <v>1.542</v>
      </c>
      <c r="O112" s="210"/>
      <c r="P112" s="213"/>
      <c r="Q112" s="214">
        <v>0.63400000000000001</v>
      </c>
      <c r="R112" s="214">
        <v>8.1630000000000003</v>
      </c>
      <c r="S112" s="214">
        <f>39.08-14.84</f>
        <v>24.24</v>
      </c>
      <c r="T112" s="215"/>
      <c r="U112" s="209">
        <v>5</v>
      </c>
      <c r="V112" s="216">
        <f t="shared" si="5"/>
        <v>1.3671359999999999</v>
      </c>
      <c r="W112" s="210"/>
      <c r="X112" s="213">
        <f t="shared" si="6"/>
        <v>75.710712028649695</v>
      </c>
      <c r="Y112" s="217">
        <f t="shared" si="7"/>
        <v>1.8414182641668424</v>
      </c>
      <c r="Z112" s="210"/>
    </row>
    <row r="113" spans="1:27" s="218" customFormat="1" x14ac:dyDescent="0.25">
      <c r="A113" s="382"/>
      <c r="B113" s="158"/>
      <c r="C113" s="205"/>
      <c r="D113" s="206"/>
      <c r="E113" s="205"/>
      <c r="F113" s="207"/>
      <c r="G113" s="207"/>
      <c r="H113" s="208"/>
      <c r="I113" s="158"/>
      <c r="J113" s="209" t="s">
        <v>420</v>
      </c>
      <c r="K113" s="206"/>
      <c r="L113" s="210"/>
      <c r="M113" s="211">
        <v>0.33800000000000002</v>
      </c>
      <c r="N113" s="212">
        <v>1.919</v>
      </c>
      <c r="O113" s="210"/>
      <c r="P113" s="213"/>
      <c r="Q113" s="214">
        <v>1.379</v>
      </c>
      <c r="R113" s="214">
        <v>8.8629999999999995</v>
      </c>
      <c r="S113" s="214">
        <f>58.67-27.91</f>
        <v>30.76</v>
      </c>
      <c r="T113" s="215"/>
      <c r="U113" s="209">
        <v>5</v>
      </c>
      <c r="V113" s="216">
        <f t="shared" si="5"/>
        <v>2.0793760000000003</v>
      </c>
      <c r="W113" s="210"/>
      <c r="X113" s="213">
        <f t="shared" si="6"/>
        <v>117.55523772516368</v>
      </c>
      <c r="Y113" s="217">
        <f t="shared" si="7"/>
        <v>1.635884707720008</v>
      </c>
      <c r="Z113" s="210"/>
    </row>
    <row r="114" spans="1:27" s="218" customFormat="1" x14ac:dyDescent="0.25">
      <c r="A114" s="382"/>
      <c r="B114" s="158"/>
      <c r="C114" s="205"/>
      <c r="D114" s="206"/>
      <c r="E114" s="205"/>
      <c r="F114" s="207"/>
      <c r="G114" s="207"/>
      <c r="H114" s="208"/>
      <c r="I114" s="158"/>
      <c r="J114" s="209" t="s">
        <v>421</v>
      </c>
      <c r="K114" s="206"/>
      <c r="L114" s="210"/>
      <c r="M114" s="211">
        <v>0.35199999999999998</v>
      </c>
      <c r="N114" s="212">
        <v>2.5680000000000001</v>
      </c>
      <c r="O114" s="210"/>
      <c r="P114" s="213"/>
      <c r="Q114" s="214">
        <v>2.0680000000000001</v>
      </c>
      <c r="R114" s="214">
        <v>9.34</v>
      </c>
      <c r="S114" s="214">
        <f>59.34-14.31</f>
        <v>45.03</v>
      </c>
      <c r="T114" s="215"/>
      <c r="U114" s="209">
        <v>5</v>
      </c>
      <c r="V114" s="216">
        <f t="shared" si="5"/>
        <v>3.170112</v>
      </c>
      <c r="W114" s="210"/>
      <c r="X114" s="213">
        <f t="shared" si="6"/>
        <v>121.85765045525206</v>
      </c>
      <c r="Y114" s="217">
        <f t="shared" si="7"/>
        <v>1.5132033189994549</v>
      </c>
      <c r="Z114" s="210"/>
    </row>
    <row r="115" spans="1:27" s="218" customFormat="1" x14ac:dyDescent="0.25">
      <c r="A115" s="382"/>
      <c r="B115" s="158"/>
      <c r="C115" s="205"/>
      <c r="D115" s="206"/>
      <c r="E115" s="205"/>
      <c r="F115" s="207"/>
      <c r="G115" s="207"/>
      <c r="H115" s="208"/>
      <c r="I115" s="158"/>
      <c r="J115" s="209" t="s">
        <v>422</v>
      </c>
      <c r="K115" s="206"/>
      <c r="L115" s="210"/>
      <c r="M115" s="211">
        <v>0.34399999999999997</v>
      </c>
      <c r="N115" s="212">
        <v>2.2149999999999999</v>
      </c>
      <c r="O115" s="210"/>
      <c r="P115" s="213"/>
      <c r="Q115" s="214">
        <v>0.99299999999999999</v>
      </c>
      <c r="R115" s="214">
        <v>9.1869999999999994</v>
      </c>
      <c r="S115" s="214">
        <f>52.42-14.25</f>
        <v>38.17</v>
      </c>
      <c r="T115" s="215"/>
      <c r="U115" s="209">
        <v>5</v>
      </c>
      <c r="V115" s="216">
        <f t="shared" si="5"/>
        <v>2.626096</v>
      </c>
      <c r="W115" s="210"/>
      <c r="X115" s="213">
        <f t="shared" si="6"/>
        <v>69.477208753983106</v>
      </c>
      <c r="Y115" s="217">
        <f t="shared" si="7"/>
        <v>1.5497685537771655</v>
      </c>
      <c r="Z115" s="210"/>
    </row>
    <row r="116" spans="1:27" s="218" customFormat="1" x14ac:dyDescent="0.25">
      <c r="A116" s="382"/>
      <c r="B116" s="158"/>
      <c r="C116" s="205"/>
      <c r="D116" s="206"/>
      <c r="E116" s="205"/>
      <c r="F116" s="207"/>
      <c r="G116" s="207"/>
      <c r="H116" s="208"/>
      <c r="I116" s="158"/>
      <c r="J116" s="209" t="s">
        <v>423</v>
      </c>
      <c r="K116" s="206"/>
      <c r="L116" s="210"/>
      <c r="M116" s="211">
        <v>0.32400000000000001</v>
      </c>
      <c r="N116" s="212">
        <v>2.5790000000000002</v>
      </c>
      <c r="O116" s="210"/>
      <c r="P116" s="213"/>
      <c r="Q116" s="214">
        <v>1.62</v>
      </c>
      <c r="R116" s="214">
        <v>9.0549999999999997</v>
      </c>
      <c r="S116" s="214">
        <f>58.26-14.47</f>
        <v>43.79</v>
      </c>
      <c r="T116" s="215"/>
      <c r="U116" s="209">
        <v>5</v>
      </c>
      <c r="V116" s="216">
        <f t="shared" si="5"/>
        <v>2.8375919999999999</v>
      </c>
      <c r="W116" s="210"/>
      <c r="X116" s="213">
        <f t="shared" si="6"/>
        <v>103.39118520210093</v>
      </c>
      <c r="Y116" s="217">
        <f t="shared" si="7"/>
        <v>1.6459621397297428</v>
      </c>
      <c r="Z116" s="210"/>
    </row>
    <row r="117" spans="1:27" s="218" customFormat="1" x14ac:dyDescent="0.25">
      <c r="A117" s="382"/>
      <c r="B117" s="158"/>
      <c r="C117" s="205"/>
      <c r="D117" s="206"/>
      <c r="E117" s="205"/>
      <c r="F117" s="207"/>
      <c r="G117" s="207"/>
      <c r="H117" s="208"/>
      <c r="I117" s="158"/>
      <c r="J117" s="209" t="s">
        <v>424</v>
      </c>
      <c r="K117" s="206"/>
      <c r="L117" s="210"/>
      <c r="M117" s="211">
        <v>0.27500000000000002</v>
      </c>
      <c r="N117" s="212">
        <v>1.6839999999999999</v>
      </c>
      <c r="O117" s="210"/>
      <c r="P117" s="213"/>
      <c r="Q117" s="214">
        <v>1.0569999999999999</v>
      </c>
      <c r="R117" s="214">
        <v>8.8130000000000006</v>
      </c>
      <c r="S117" s="214">
        <f>56.56-26.84</f>
        <v>29.720000000000002</v>
      </c>
      <c r="T117" s="215"/>
      <c r="U117" s="209">
        <v>5</v>
      </c>
      <c r="V117" s="216">
        <f t="shared" si="5"/>
        <v>1.6346000000000003</v>
      </c>
      <c r="W117" s="210"/>
      <c r="X117" s="213">
        <f t="shared" si="6"/>
        <v>113.9770096659733</v>
      </c>
      <c r="Y117" s="217">
        <f t="shared" si="7"/>
        <v>1.8158683469962067</v>
      </c>
      <c r="Z117" s="210"/>
    </row>
    <row r="118" spans="1:27" s="218" customFormat="1" x14ac:dyDescent="0.25">
      <c r="A118" s="382"/>
      <c r="B118" s="158"/>
      <c r="C118" s="205"/>
      <c r="D118" s="206"/>
      <c r="E118" s="205"/>
      <c r="F118" s="207"/>
      <c r="G118" s="207"/>
      <c r="H118" s="208"/>
      <c r="I118" s="158"/>
      <c r="J118" s="209" t="s">
        <v>425</v>
      </c>
      <c r="K118" s="206"/>
      <c r="L118" s="210"/>
      <c r="M118" s="211">
        <v>0.25900000000000001</v>
      </c>
      <c r="N118" s="212">
        <v>1.79</v>
      </c>
      <c r="O118" s="210"/>
      <c r="P118" s="213"/>
      <c r="Q118" s="214">
        <v>1.214</v>
      </c>
      <c r="R118" s="214">
        <v>9.3360000000000003</v>
      </c>
      <c r="S118" s="214">
        <f>58.35-14.24</f>
        <v>44.11</v>
      </c>
      <c r="T118" s="215"/>
      <c r="U118" s="209">
        <v>5</v>
      </c>
      <c r="V118" s="216">
        <f t="shared" si="5"/>
        <v>2.2848980000000001</v>
      </c>
      <c r="W118" s="210"/>
      <c r="X118" s="213">
        <f t="shared" si="6"/>
        <v>99.20708933177761</v>
      </c>
      <c r="Y118" s="217">
        <f t="shared" si="7"/>
        <v>1.4627733929479565</v>
      </c>
      <c r="Z118" s="210"/>
    </row>
    <row r="119" spans="1:27" s="218" customFormat="1" x14ac:dyDescent="0.25">
      <c r="A119" s="382"/>
      <c r="B119" s="158"/>
      <c r="C119" s="205"/>
      <c r="D119" s="206"/>
      <c r="E119" s="205"/>
      <c r="F119" s="207"/>
      <c r="G119" s="207"/>
      <c r="H119" s="208"/>
      <c r="I119" s="158"/>
      <c r="J119" s="209" t="s">
        <v>426</v>
      </c>
      <c r="K119" s="206"/>
      <c r="L119" s="210"/>
      <c r="M119" s="211">
        <v>0.04</v>
      </c>
      <c r="N119" s="212">
        <v>0.24399999999999999</v>
      </c>
      <c r="O119" s="210"/>
      <c r="P119" s="213"/>
      <c r="Q119" s="214">
        <v>0.35699999999999998</v>
      </c>
      <c r="R119" s="214">
        <v>8.3949999999999996</v>
      </c>
      <c r="S119" s="214">
        <f>35.04-14.27</f>
        <v>20.77</v>
      </c>
      <c r="T119" s="215"/>
      <c r="U119" s="209">
        <v>5</v>
      </c>
      <c r="V119" s="216">
        <f>(S119*M119)/U119</f>
        <v>0.16616</v>
      </c>
      <c r="W119" s="210"/>
      <c r="X119" s="213">
        <f t="shared" si="6"/>
        <v>360.73844487241212</v>
      </c>
      <c r="Y119" s="217">
        <f t="shared" si="7"/>
        <v>2.4655512758786711</v>
      </c>
      <c r="Z119" s="210"/>
    </row>
    <row r="120" spans="1:27" s="232" customFormat="1" x14ac:dyDescent="0.25">
      <c r="A120" s="383"/>
      <c r="B120" s="163"/>
      <c r="C120" s="219"/>
      <c r="D120" s="220"/>
      <c r="E120" s="219"/>
      <c r="F120" s="221"/>
      <c r="G120" s="221"/>
      <c r="H120" s="222"/>
      <c r="I120" s="163"/>
      <c r="J120" s="209" t="s">
        <v>427</v>
      </c>
      <c r="K120" s="220"/>
      <c r="L120" s="223"/>
      <c r="M120" s="224">
        <v>0.23200000000000001</v>
      </c>
      <c r="N120" s="225">
        <v>2.1219999999999999</v>
      </c>
      <c r="O120" s="223"/>
      <c r="P120" s="226"/>
      <c r="Q120" s="227">
        <v>1.1200000000000001</v>
      </c>
      <c r="R120" s="227">
        <v>8.7219999999999995</v>
      </c>
      <c r="S120" s="227">
        <f>53.38-14.36</f>
        <v>39.020000000000003</v>
      </c>
      <c r="T120" s="228"/>
      <c r="U120" s="229">
        <v>5</v>
      </c>
      <c r="V120" s="230">
        <f t="shared" si="5"/>
        <v>1.8105280000000004</v>
      </c>
      <c r="W120" s="223"/>
      <c r="X120" s="226">
        <f>((Q120*R120)/(M120*S120))*100</f>
        <v>107.90929496809767</v>
      </c>
      <c r="Y120" s="231">
        <f>(R120*N120)/(S120*M120)</f>
        <v>2.0444957493062788</v>
      </c>
      <c r="Z120" s="223"/>
    </row>
    <row r="121" spans="1:27" s="232" customFormat="1" x14ac:dyDescent="0.25">
      <c r="A121" s="162" t="s">
        <v>428</v>
      </c>
      <c r="B121" s="163"/>
      <c r="C121" s="229" t="s">
        <v>429</v>
      </c>
      <c r="D121" s="220"/>
      <c r="E121" s="219"/>
      <c r="F121" s="221"/>
      <c r="G121" s="221"/>
      <c r="H121" s="222"/>
      <c r="I121" s="163"/>
      <c r="J121" s="233" t="s">
        <v>430</v>
      </c>
      <c r="K121" s="220"/>
      <c r="L121" s="223"/>
      <c r="M121" s="229">
        <v>1.5429999999999999</v>
      </c>
      <c r="N121" s="234">
        <v>3.2090000000000001</v>
      </c>
      <c r="O121" s="223"/>
      <c r="P121" s="226"/>
      <c r="Q121" s="235"/>
      <c r="R121" s="219"/>
      <c r="S121" s="219"/>
      <c r="T121" s="219"/>
      <c r="U121" s="219"/>
      <c r="V121" s="236"/>
      <c r="W121" s="223"/>
      <c r="X121" s="226"/>
      <c r="Y121" s="231"/>
      <c r="Z121" s="223"/>
    </row>
    <row r="122" spans="1:27" s="155" customFormat="1" x14ac:dyDescent="0.25">
      <c r="A122" s="381" t="s">
        <v>428</v>
      </c>
      <c r="B122" s="125">
        <v>36</v>
      </c>
      <c r="C122" s="124" t="s">
        <v>24</v>
      </c>
      <c r="D122" s="125">
        <v>1</v>
      </c>
      <c r="E122" s="124"/>
      <c r="F122" s="126"/>
      <c r="G122" s="126">
        <v>1222</v>
      </c>
      <c r="H122" s="237" t="s">
        <v>431</v>
      </c>
      <c r="I122" s="152">
        <v>45587</v>
      </c>
      <c r="J122" s="124" t="s">
        <v>432</v>
      </c>
      <c r="K122" s="153"/>
      <c r="L122" s="154"/>
      <c r="M122" s="238">
        <v>1.268</v>
      </c>
      <c r="N122" s="130">
        <v>2.6179999999999999</v>
      </c>
      <c r="O122" s="130">
        <f>((Q122*R122)/(M122*S122))*100</f>
        <v>44.450456683317562</v>
      </c>
      <c r="P122" s="130"/>
      <c r="Q122" s="130">
        <v>1.494</v>
      </c>
      <c r="R122" s="130">
        <v>15</v>
      </c>
      <c r="S122" s="130">
        <f>54.02-14.26</f>
        <v>39.760000000000005</v>
      </c>
      <c r="T122" s="130"/>
      <c r="U122" s="130">
        <v>5</v>
      </c>
      <c r="V122" s="216">
        <f t="shared" ref="V122:V143" si="8">(S122*M122)/U122</f>
        <v>10.083136000000001</v>
      </c>
      <c r="W122" s="130"/>
      <c r="X122" s="213">
        <f t="shared" ref="X122:X143" si="9">((Q122*R122)/(M122*S122))*100</f>
        <v>44.450456683317562</v>
      </c>
      <c r="Y122" s="217">
        <f t="shared" ref="Y122:Y143" si="10">(R122*N122)/(S122*M122)</f>
        <v>0.77892433465144151</v>
      </c>
      <c r="Z122" s="130"/>
      <c r="AA122" s="239"/>
    </row>
    <row r="123" spans="1:27" x14ac:dyDescent="0.25">
      <c r="A123" s="382"/>
      <c r="B123" s="102">
        <v>36</v>
      </c>
      <c r="C123" s="103" t="s">
        <v>24</v>
      </c>
      <c r="D123" s="102">
        <v>2</v>
      </c>
      <c r="E123" s="103"/>
      <c r="F123" s="101"/>
      <c r="G123" s="101">
        <v>1222</v>
      </c>
      <c r="H123" s="132" t="s">
        <v>431</v>
      </c>
      <c r="I123" s="104">
        <v>45586</v>
      </c>
      <c r="J123" s="124" t="s">
        <v>433</v>
      </c>
      <c r="M123" s="238">
        <v>1.1279999999999999</v>
      </c>
      <c r="N123" s="108">
        <v>2.4239999999999999</v>
      </c>
      <c r="O123" s="130">
        <f t="shared" ref="O123:O141" si="11">((Q123*R123)/(M123*S123))*100</f>
        <v>91.945842259680106</v>
      </c>
      <c r="P123" s="108"/>
      <c r="Q123" s="240">
        <f>2.468/0.9</f>
        <v>2.7422222222222223</v>
      </c>
      <c r="R123" s="108">
        <v>15</v>
      </c>
      <c r="S123" s="108">
        <f>53.9-14.24</f>
        <v>39.659999999999997</v>
      </c>
      <c r="T123" s="108"/>
      <c r="U123" s="108">
        <v>5</v>
      </c>
      <c r="V123" s="216">
        <f t="shared" si="8"/>
        <v>8.9472959999999979</v>
      </c>
      <c r="W123" s="108"/>
      <c r="X123" s="213">
        <f t="shared" si="9"/>
        <v>91.945842259680106</v>
      </c>
      <c r="Y123" s="241">
        <f t="shared" si="10"/>
        <v>0.81275951974764227</v>
      </c>
      <c r="Z123" s="108"/>
      <c r="AA123" s="242"/>
    </row>
    <row r="124" spans="1:27" x14ac:dyDescent="0.25">
      <c r="A124" s="382"/>
      <c r="B124" s="102">
        <v>36</v>
      </c>
      <c r="C124" s="103" t="s">
        <v>24</v>
      </c>
      <c r="D124" s="102">
        <v>3</v>
      </c>
      <c r="E124" s="103"/>
      <c r="F124" s="101"/>
      <c r="G124" s="101">
        <v>1218</v>
      </c>
      <c r="H124" s="132" t="s">
        <v>434</v>
      </c>
      <c r="I124" s="104">
        <v>45587</v>
      </c>
      <c r="J124" s="124" t="s">
        <v>435</v>
      </c>
      <c r="M124" s="238">
        <v>1.5629999999999999</v>
      </c>
      <c r="N124" s="108">
        <v>3.0579999999999998</v>
      </c>
      <c r="O124" s="130">
        <f t="shared" si="11"/>
        <v>39.47690713866961</v>
      </c>
      <c r="P124" s="108"/>
      <c r="Q124" s="108">
        <v>1.573</v>
      </c>
      <c r="R124" s="108">
        <v>15</v>
      </c>
      <c r="S124" s="108">
        <f>52.51-14.27</f>
        <v>38.239999999999995</v>
      </c>
      <c r="T124" s="108"/>
      <c r="U124" s="108">
        <v>5</v>
      </c>
      <c r="V124" s="216">
        <f t="shared" si="8"/>
        <v>11.953823999999997</v>
      </c>
      <c r="W124" s="108"/>
      <c r="X124" s="213">
        <f t="shared" si="9"/>
        <v>39.47690713866961</v>
      </c>
      <c r="Y124" s="241">
        <f t="shared" si="10"/>
        <v>0.76745315975875184</v>
      </c>
      <c r="Z124" s="108"/>
      <c r="AA124" s="242"/>
    </row>
    <row r="125" spans="1:27" x14ac:dyDescent="0.25">
      <c r="A125" s="382"/>
      <c r="B125" s="102">
        <v>36</v>
      </c>
      <c r="C125" s="103" t="s">
        <v>24</v>
      </c>
      <c r="D125" s="102">
        <v>4</v>
      </c>
      <c r="E125" s="103"/>
      <c r="F125" s="101"/>
      <c r="G125" s="101">
        <v>1206</v>
      </c>
      <c r="H125" s="132" t="s">
        <v>436</v>
      </c>
      <c r="I125" s="104">
        <v>45587</v>
      </c>
      <c r="J125" s="124" t="s">
        <v>437</v>
      </c>
      <c r="M125" s="238">
        <v>1.702</v>
      </c>
      <c r="N125" s="108">
        <v>3.4020000000000001</v>
      </c>
      <c r="O125" s="130">
        <f t="shared" si="11"/>
        <v>37.83155874095138</v>
      </c>
      <c r="P125" s="108"/>
      <c r="Q125" s="108">
        <v>1.6870000000000001</v>
      </c>
      <c r="R125" s="108">
        <v>15</v>
      </c>
      <c r="S125" s="108">
        <f>53.54-14.24</f>
        <v>39.299999999999997</v>
      </c>
      <c r="T125" s="108"/>
      <c r="U125" s="108">
        <v>5</v>
      </c>
      <c r="V125" s="216">
        <f t="shared" si="8"/>
        <v>13.37772</v>
      </c>
      <c r="W125" s="108"/>
      <c r="X125" s="213">
        <f t="shared" si="9"/>
        <v>37.83155874095138</v>
      </c>
      <c r="Y125" s="241">
        <f t="shared" si="10"/>
        <v>0.76291027170549242</v>
      </c>
      <c r="Z125" s="108"/>
      <c r="AA125" s="242"/>
    </row>
    <row r="126" spans="1:27" x14ac:dyDescent="0.25">
      <c r="A126" s="382"/>
      <c r="B126" s="102">
        <v>36</v>
      </c>
      <c r="C126" s="103" t="s">
        <v>24</v>
      </c>
      <c r="D126" s="102">
        <v>5</v>
      </c>
      <c r="E126" s="103"/>
      <c r="F126" s="101"/>
      <c r="G126" s="101">
        <v>1206</v>
      </c>
      <c r="H126" s="132" t="s">
        <v>436</v>
      </c>
      <c r="I126" s="104">
        <v>45587</v>
      </c>
      <c r="J126" s="124" t="s">
        <v>438</v>
      </c>
      <c r="M126" s="238">
        <v>2.2469999999999999</v>
      </c>
      <c r="N126" s="108">
        <v>4.4790000000000001</v>
      </c>
      <c r="O126" s="130">
        <f t="shared" si="11"/>
        <v>33.737999473995444</v>
      </c>
      <c r="P126" s="108"/>
      <c r="Q126" s="108">
        <v>2.0139999999999998</v>
      </c>
      <c r="R126" s="108">
        <v>15</v>
      </c>
      <c r="S126" s="108">
        <f>54.08-14.23</f>
        <v>39.849999999999994</v>
      </c>
      <c r="T126" s="108"/>
      <c r="U126" s="108">
        <v>5</v>
      </c>
      <c r="V126" s="216">
        <f t="shared" si="8"/>
        <v>17.908589999999997</v>
      </c>
      <c r="W126" s="108"/>
      <c r="X126" s="213">
        <f t="shared" si="9"/>
        <v>33.737999473995444</v>
      </c>
      <c r="Y126" s="241">
        <f t="shared" si="10"/>
        <v>0.75031032593855818</v>
      </c>
      <c r="Z126" s="108"/>
      <c r="AA126" s="242"/>
    </row>
    <row r="127" spans="1:27" x14ac:dyDescent="0.25">
      <c r="A127" s="382"/>
      <c r="B127" s="102">
        <v>36</v>
      </c>
      <c r="C127" s="103" t="s">
        <v>24</v>
      </c>
      <c r="D127" s="102">
        <v>6</v>
      </c>
      <c r="E127" s="103"/>
      <c r="F127" s="101"/>
      <c r="G127" s="101">
        <v>1222</v>
      </c>
      <c r="H127" s="132" t="s">
        <v>431</v>
      </c>
      <c r="I127" s="104">
        <v>45587</v>
      </c>
      <c r="J127" s="124" t="s">
        <v>439</v>
      </c>
      <c r="M127" s="238">
        <v>1.4279999999999999</v>
      </c>
      <c r="N127" s="108">
        <v>2.7669999999999999</v>
      </c>
      <c r="O127" s="130">
        <f t="shared" si="11"/>
        <v>42.907602862056073</v>
      </c>
      <c r="P127" s="108"/>
      <c r="Q127" s="108">
        <v>1.5509999999999999</v>
      </c>
      <c r="R127" s="108">
        <v>15</v>
      </c>
      <c r="S127" s="108">
        <f>52.13-14.16</f>
        <v>37.97</v>
      </c>
      <c r="T127" s="108"/>
      <c r="U127" s="108">
        <v>5</v>
      </c>
      <c r="V127" s="216">
        <f t="shared" si="8"/>
        <v>10.844232</v>
      </c>
      <c r="W127" s="108"/>
      <c r="X127" s="213">
        <f t="shared" si="9"/>
        <v>42.907602862056073</v>
      </c>
      <c r="Y127" s="241">
        <f t="shared" si="10"/>
        <v>0.76547606137530066</v>
      </c>
      <c r="Z127" s="108"/>
      <c r="AA127" s="242"/>
    </row>
    <row r="128" spans="1:27" x14ac:dyDescent="0.25">
      <c r="A128" s="382"/>
      <c r="B128" s="102">
        <v>36</v>
      </c>
      <c r="C128" s="103" t="s">
        <v>24</v>
      </c>
      <c r="D128" s="102">
        <v>7</v>
      </c>
      <c r="E128" s="103"/>
      <c r="F128" s="101"/>
      <c r="G128" s="101">
        <v>1206</v>
      </c>
      <c r="H128" s="132" t="s">
        <v>436</v>
      </c>
      <c r="I128" s="104">
        <v>45587</v>
      </c>
      <c r="J128" s="124" t="s">
        <v>440</v>
      </c>
      <c r="M128" s="238">
        <v>1.649</v>
      </c>
      <c r="N128" s="108">
        <v>3.3340000000000001</v>
      </c>
      <c r="O128" s="130">
        <f t="shared" si="11"/>
        <v>77.080086309950318</v>
      </c>
      <c r="P128" s="108"/>
      <c r="Q128" s="108">
        <v>3.331</v>
      </c>
      <c r="R128" s="108">
        <v>15</v>
      </c>
      <c r="S128" s="108">
        <f>53.57-14.26</f>
        <v>39.31</v>
      </c>
      <c r="T128" s="108"/>
      <c r="U128" s="108">
        <v>5</v>
      </c>
      <c r="V128" s="216">
        <f t="shared" si="8"/>
        <v>12.964438000000001</v>
      </c>
      <c r="W128" s="108"/>
      <c r="X128" s="213">
        <f t="shared" si="9"/>
        <v>77.080086309950318</v>
      </c>
      <c r="Y128" s="241">
        <f t="shared" si="10"/>
        <v>0.77149506982099791</v>
      </c>
      <c r="Z128" s="108"/>
      <c r="AA128" s="242"/>
    </row>
    <row r="129" spans="1:27" x14ac:dyDescent="0.25">
      <c r="A129" s="382"/>
      <c r="B129" s="102">
        <v>36</v>
      </c>
      <c r="C129" s="103" t="s">
        <v>24</v>
      </c>
      <c r="D129" s="102">
        <v>8</v>
      </c>
      <c r="E129" s="103"/>
      <c r="F129" s="101"/>
      <c r="G129" s="101">
        <v>1208</v>
      </c>
      <c r="H129" s="132" t="s">
        <v>441</v>
      </c>
      <c r="I129" s="104">
        <v>45587</v>
      </c>
      <c r="J129" s="124" t="s">
        <v>442</v>
      </c>
      <c r="M129" s="238">
        <v>0.86099999999999999</v>
      </c>
      <c r="N129" s="108">
        <v>1.716</v>
      </c>
      <c r="O129" s="130">
        <f t="shared" si="11"/>
        <v>43.047434129770906</v>
      </c>
      <c r="P129" s="108"/>
      <c r="Q129" s="108">
        <v>0.95599999999999996</v>
      </c>
      <c r="R129" s="108">
        <v>15</v>
      </c>
      <c r="S129" s="108">
        <f>52.93-14.24</f>
        <v>38.69</v>
      </c>
      <c r="T129" s="108"/>
      <c r="U129" s="108">
        <v>5</v>
      </c>
      <c r="V129" s="216">
        <f t="shared" si="8"/>
        <v>6.6624179999999997</v>
      </c>
      <c r="W129" s="108"/>
      <c r="X129" s="213">
        <f t="shared" si="9"/>
        <v>43.047434129770906</v>
      </c>
      <c r="Y129" s="241">
        <f t="shared" si="10"/>
        <v>0.77269243689002998</v>
      </c>
      <c r="Z129" s="108"/>
      <c r="AA129" s="242"/>
    </row>
    <row r="130" spans="1:27" x14ac:dyDescent="0.25">
      <c r="A130" s="382"/>
      <c r="B130" s="102">
        <v>36</v>
      </c>
      <c r="C130" s="103" t="s">
        <v>24</v>
      </c>
      <c r="D130" s="102">
        <v>9</v>
      </c>
      <c r="E130" s="103"/>
      <c r="F130" s="101"/>
      <c r="G130" s="101">
        <v>1222</v>
      </c>
      <c r="H130" s="132" t="s">
        <v>431</v>
      </c>
      <c r="I130" s="104">
        <v>45586</v>
      </c>
      <c r="J130" s="124" t="s">
        <v>443</v>
      </c>
      <c r="M130" s="238">
        <v>1.1519999999999999</v>
      </c>
      <c r="N130" s="108">
        <v>2.6269999999999998</v>
      </c>
      <c r="O130" s="130">
        <f t="shared" si="11"/>
        <v>78.737139917695472</v>
      </c>
      <c r="P130" s="108"/>
      <c r="Q130" s="240">
        <f>2.783/0.9</f>
        <v>3.092222222222222</v>
      </c>
      <c r="R130" s="108">
        <v>11</v>
      </c>
      <c r="S130" s="108">
        <f>51.76-14.26</f>
        <v>37.5</v>
      </c>
      <c r="T130" s="108"/>
      <c r="U130" s="108">
        <v>5</v>
      </c>
      <c r="V130" s="216">
        <f t="shared" si="8"/>
        <v>8.6399999999999988</v>
      </c>
      <c r="W130" s="108"/>
      <c r="X130" s="213">
        <f t="shared" si="9"/>
        <v>78.737139917695472</v>
      </c>
      <c r="Y130" s="241">
        <f t="shared" si="10"/>
        <v>0.66891203703703705</v>
      </c>
      <c r="Z130" s="108"/>
      <c r="AA130" s="242"/>
    </row>
    <row r="131" spans="1:27" x14ac:dyDescent="0.25">
      <c r="A131" s="382"/>
      <c r="B131" s="102">
        <v>36</v>
      </c>
      <c r="C131" s="103" t="s">
        <v>24</v>
      </c>
      <c r="D131" s="102">
        <v>10</v>
      </c>
      <c r="E131" s="103"/>
      <c r="F131" s="101"/>
      <c r="G131" s="101">
        <v>1222</v>
      </c>
      <c r="H131" s="132" t="s">
        <v>431</v>
      </c>
      <c r="I131" s="104">
        <v>45587</v>
      </c>
      <c r="J131" s="124" t="s">
        <v>444</v>
      </c>
      <c r="M131" s="238">
        <v>1.2330000000000001</v>
      </c>
      <c r="N131" s="108">
        <v>2.2130000000000001</v>
      </c>
      <c r="O131" s="130">
        <f t="shared" si="11"/>
        <v>85.584107759243125</v>
      </c>
      <c r="P131" s="108"/>
      <c r="Q131" s="108">
        <v>2.8330000000000002</v>
      </c>
      <c r="R131" s="108">
        <v>15</v>
      </c>
      <c r="S131" s="108">
        <f>54.91-14.64</f>
        <v>40.269999999999996</v>
      </c>
      <c r="T131" s="108"/>
      <c r="U131" s="108">
        <v>5</v>
      </c>
      <c r="V131" s="216">
        <f t="shared" si="8"/>
        <v>9.9305819999999994</v>
      </c>
      <c r="W131" s="108"/>
      <c r="X131" s="213">
        <f t="shared" si="9"/>
        <v>85.584107759243125</v>
      </c>
      <c r="Y131" s="241">
        <f t="shared" si="10"/>
        <v>0.66854087706037779</v>
      </c>
      <c r="Z131" s="108"/>
      <c r="AA131" s="242"/>
    </row>
    <row r="132" spans="1:27" x14ac:dyDescent="0.25">
      <c r="A132" s="382"/>
      <c r="B132" s="102">
        <v>36</v>
      </c>
      <c r="C132" s="103" t="s">
        <v>24</v>
      </c>
      <c r="D132" s="102">
        <v>11</v>
      </c>
      <c r="E132" s="103"/>
      <c r="F132" s="101"/>
      <c r="G132" s="101">
        <v>1218</v>
      </c>
      <c r="H132" s="132" t="s">
        <v>434</v>
      </c>
      <c r="I132" s="104">
        <v>45586</v>
      </c>
      <c r="J132" s="124" t="s">
        <v>445</v>
      </c>
      <c r="M132" s="238">
        <v>1.3540000000000001</v>
      </c>
      <c r="N132" s="108">
        <v>2.6</v>
      </c>
      <c r="O132" s="130">
        <f t="shared" si="11"/>
        <v>89.111818654784543</v>
      </c>
      <c r="P132" s="108"/>
      <c r="Q132" s="240">
        <f>2.709/0.9</f>
        <v>3.01</v>
      </c>
      <c r="R132" s="108">
        <v>15</v>
      </c>
      <c r="S132" s="108">
        <f>51.62-14.2</f>
        <v>37.42</v>
      </c>
      <c r="T132" s="108"/>
      <c r="U132" s="108">
        <v>5</v>
      </c>
      <c r="V132" s="216">
        <f t="shared" si="8"/>
        <v>10.133336000000002</v>
      </c>
      <c r="W132" s="108"/>
      <c r="X132" s="213">
        <f t="shared" si="9"/>
        <v>89.111818654784543</v>
      </c>
      <c r="Y132" s="241">
        <f t="shared" si="10"/>
        <v>0.76973663954298954</v>
      </c>
      <c r="Z132" s="108"/>
      <c r="AA132" s="242"/>
    </row>
    <row r="133" spans="1:27" x14ac:dyDescent="0.25">
      <c r="A133" s="382"/>
      <c r="B133" s="102">
        <v>36</v>
      </c>
      <c r="C133" s="103" t="s">
        <v>24</v>
      </c>
      <c r="D133" s="102">
        <v>12</v>
      </c>
      <c r="E133" s="103"/>
      <c r="F133" s="101"/>
      <c r="G133" s="101">
        <v>1218</v>
      </c>
      <c r="H133" s="132" t="s">
        <v>434</v>
      </c>
      <c r="I133" s="104">
        <v>45586</v>
      </c>
      <c r="J133" s="124" t="s">
        <v>446</v>
      </c>
      <c r="M133" s="238">
        <v>1.1779999999999999</v>
      </c>
      <c r="N133" s="108">
        <v>2.375</v>
      </c>
      <c r="O133" s="130">
        <f t="shared" si="11"/>
        <v>93.465208341870181</v>
      </c>
      <c r="P133" s="108"/>
      <c r="Q133" s="240">
        <f>2.655/0.9</f>
        <v>2.9499999999999997</v>
      </c>
      <c r="R133" s="108">
        <v>15</v>
      </c>
      <c r="S133" s="108">
        <f>54.58-14.39</f>
        <v>40.19</v>
      </c>
      <c r="T133" s="108"/>
      <c r="U133" s="108">
        <v>5</v>
      </c>
      <c r="V133" s="216">
        <f t="shared" si="8"/>
        <v>9.4687639999999984</v>
      </c>
      <c r="W133" s="108"/>
      <c r="X133" s="213">
        <f t="shared" si="9"/>
        <v>93.465208341870181</v>
      </c>
      <c r="Y133" s="241">
        <f t="shared" si="10"/>
        <v>0.75247413495573456</v>
      </c>
      <c r="Z133" s="108"/>
      <c r="AA133" s="242"/>
    </row>
    <row r="134" spans="1:27" x14ac:dyDescent="0.25">
      <c r="A134" s="382"/>
      <c r="B134" s="102">
        <v>36</v>
      </c>
      <c r="C134" s="103" t="s">
        <v>24</v>
      </c>
      <c r="D134" s="102">
        <v>13</v>
      </c>
      <c r="E134" s="103"/>
      <c r="F134" s="101"/>
      <c r="G134" s="101">
        <v>1222</v>
      </c>
      <c r="H134" s="132" t="s">
        <v>431</v>
      </c>
      <c r="I134" s="104">
        <v>45587</v>
      </c>
      <c r="J134" s="124" t="s">
        <v>447</v>
      </c>
      <c r="M134" s="238">
        <v>1.4650000000000001</v>
      </c>
      <c r="N134" s="108">
        <v>2.7589999999999999</v>
      </c>
      <c r="O134" s="130">
        <f t="shared" si="11"/>
        <v>80.188729712090904</v>
      </c>
      <c r="P134" s="108"/>
      <c r="Q134" s="240">
        <v>2.9980000000000002</v>
      </c>
      <c r="R134" s="108">
        <v>15</v>
      </c>
      <c r="S134" s="108">
        <f>52.63-14.35</f>
        <v>38.28</v>
      </c>
      <c r="T134" s="108"/>
      <c r="U134" s="108">
        <v>5</v>
      </c>
      <c r="V134" s="216">
        <f t="shared" si="8"/>
        <v>11.216040000000001</v>
      </c>
      <c r="W134" s="108"/>
      <c r="X134" s="213">
        <f t="shared" si="9"/>
        <v>80.188729712090904</v>
      </c>
      <c r="Y134" s="241">
        <f t="shared" si="10"/>
        <v>0.73796099157991579</v>
      </c>
      <c r="Z134" s="108"/>
      <c r="AA134" s="242"/>
    </row>
    <row r="135" spans="1:27" x14ac:dyDescent="0.25">
      <c r="A135" s="382"/>
      <c r="B135" s="102">
        <v>36</v>
      </c>
      <c r="C135" s="103" t="s">
        <v>24</v>
      </c>
      <c r="D135" s="102">
        <v>14</v>
      </c>
      <c r="E135" s="103"/>
      <c r="F135" s="101"/>
      <c r="G135" s="101">
        <v>1206</v>
      </c>
      <c r="H135" s="132" t="s">
        <v>436</v>
      </c>
      <c r="I135" s="104">
        <v>45587</v>
      </c>
      <c r="J135" s="124" t="s">
        <v>448</v>
      </c>
      <c r="M135" s="238">
        <v>1.8149999999999999</v>
      </c>
      <c r="N135" s="108">
        <v>3.4</v>
      </c>
      <c r="O135" s="130">
        <f t="shared" si="11"/>
        <v>81.686067107604728</v>
      </c>
      <c r="P135" s="108"/>
      <c r="Q135" s="240">
        <v>3.92</v>
      </c>
      <c r="R135" s="108">
        <v>15</v>
      </c>
      <c r="S135" s="108">
        <f>53.89-14.23</f>
        <v>39.659999999999997</v>
      </c>
      <c r="T135" s="108"/>
      <c r="U135" s="108">
        <v>5</v>
      </c>
      <c r="V135" s="216">
        <f t="shared" si="8"/>
        <v>14.396579999999997</v>
      </c>
      <c r="W135" s="108"/>
      <c r="X135" s="213">
        <f t="shared" si="9"/>
        <v>81.686067107604728</v>
      </c>
      <c r="Y135" s="241">
        <f t="shared" si="10"/>
        <v>0.70850160246391869</v>
      </c>
      <c r="Z135" s="108"/>
      <c r="AA135" s="242"/>
    </row>
    <row r="136" spans="1:27" x14ac:dyDescent="0.25">
      <c r="A136" s="382"/>
      <c r="B136" s="102">
        <v>36</v>
      </c>
      <c r="C136" s="103" t="s">
        <v>24</v>
      </c>
      <c r="D136" s="102">
        <v>15</v>
      </c>
      <c r="E136" s="103"/>
      <c r="F136" s="101"/>
      <c r="G136" s="101">
        <v>1218</v>
      </c>
      <c r="H136" s="132" t="s">
        <v>434</v>
      </c>
      <c r="I136" s="104">
        <v>45587</v>
      </c>
      <c r="J136" s="124" t="s">
        <v>449</v>
      </c>
      <c r="M136" s="238">
        <v>1.7130000000000001</v>
      </c>
      <c r="N136" s="108">
        <v>3.258</v>
      </c>
      <c r="O136" s="130">
        <f t="shared" si="11"/>
        <v>83.106311214892642</v>
      </c>
      <c r="P136" s="108"/>
      <c r="Q136" s="240">
        <v>3.69</v>
      </c>
      <c r="R136" s="108">
        <v>15</v>
      </c>
      <c r="S136" s="108">
        <f>53.07-14.19</f>
        <v>38.880000000000003</v>
      </c>
      <c r="T136" s="108"/>
      <c r="U136" s="108">
        <v>5</v>
      </c>
      <c r="V136" s="216">
        <f t="shared" si="8"/>
        <v>13.320288000000001</v>
      </c>
      <c r="W136" s="108"/>
      <c r="X136" s="213">
        <f t="shared" si="9"/>
        <v>83.106311214892642</v>
      </c>
      <c r="Y136" s="241">
        <f t="shared" si="10"/>
        <v>0.73376791853149104</v>
      </c>
      <c r="Z136" s="108"/>
      <c r="AA136" s="242"/>
    </row>
    <row r="137" spans="1:27" x14ac:dyDescent="0.25">
      <c r="A137" s="382"/>
      <c r="B137" s="102">
        <v>36</v>
      </c>
      <c r="C137" s="103" t="s">
        <v>24</v>
      </c>
      <c r="D137" s="102">
        <v>16</v>
      </c>
      <c r="E137" s="103"/>
      <c r="F137" s="101"/>
      <c r="G137" s="101">
        <v>1206</v>
      </c>
      <c r="H137" s="132" t="s">
        <v>436</v>
      </c>
      <c r="I137" s="104">
        <v>45587</v>
      </c>
      <c r="J137" s="124" t="s">
        <v>450</v>
      </c>
      <c r="M137" s="108">
        <v>1.43</v>
      </c>
      <c r="N137" s="108">
        <v>2.8079999999999998</v>
      </c>
      <c r="O137" s="130">
        <f t="shared" si="11"/>
        <v>81.240528345341431</v>
      </c>
      <c r="P137" s="108"/>
      <c r="Q137" s="240">
        <v>3.17</v>
      </c>
      <c r="R137" s="108">
        <v>15</v>
      </c>
      <c r="S137" s="108">
        <f>55.13-14.2</f>
        <v>40.930000000000007</v>
      </c>
      <c r="T137" s="108"/>
      <c r="U137" s="108">
        <v>5</v>
      </c>
      <c r="V137" s="216">
        <f t="shared" si="8"/>
        <v>11.70598</v>
      </c>
      <c r="W137" s="108"/>
      <c r="X137" s="213">
        <f t="shared" si="9"/>
        <v>81.240528345341431</v>
      </c>
      <c r="Y137" s="241">
        <f t="shared" si="10"/>
        <v>0.7196321879928036</v>
      </c>
      <c r="Z137" s="108"/>
      <c r="AA137" s="242"/>
    </row>
    <row r="138" spans="1:27" x14ac:dyDescent="0.25">
      <c r="A138" s="382"/>
      <c r="B138" s="102">
        <v>36</v>
      </c>
      <c r="C138" s="103" t="s">
        <v>24</v>
      </c>
      <c r="D138" s="102">
        <v>17</v>
      </c>
      <c r="E138" s="103"/>
      <c r="F138" s="101"/>
      <c r="G138" s="101">
        <v>1218</v>
      </c>
      <c r="H138" s="132" t="s">
        <v>434</v>
      </c>
      <c r="I138" s="104">
        <v>45586</v>
      </c>
      <c r="J138" s="124" t="s">
        <v>451</v>
      </c>
      <c r="M138" s="238">
        <v>1.353</v>
      </c>
      <c r="N138" s="108">
        <v>2.5369999999999999</v>
      </c>
      <c r="O138" s="130">
        <f t="shared" si="11"/>
        <v>91.58465446732032</v>
      </c>
      <c r="P138" s="108"/>
      <c r="Q138" s="240">
        <f>2.71/0.9</f>
        <v>3.0111111111111111</v>
      </c>
      <c r="R138" s="108">
        <v>15</v>
      </c>
      <c r="S138" s="108">
        <f>50.61-14.16</f>
        <v>36.450000000000003</v>
      </c>
      <c r="T138" s="108"/>
      <c r="U138" s="108">
        <v>5</v>
      </c>
      <c r="V138" s="216">
        <f t="shared" si="8"/>
        <v>9.8633699999999997</v>
      </c>
      <c r="W138" s="108"/>
      <c r="X138" s="213">
        <f t="shared" si="9"/>
        <v>91.58465446732032</v>
      </c>
      <c r="Y138" s="241">
        <f t="shared" si="10"/>
        <v>0.77164295773148528</v>
      </c>
      <c r="Z138" s="108"/>
      <c r="AA138" s="242"/>
    </row>
    <row r="139" spans="1:27" x14ac:dyDescent="0.25">
      <c r="A139" s="382"/>
      <c r="B139" s="102">
        <v>36</v>
      </c>
      <c r="C139" s="103" t="s">
        <v>24</v>
      </c>
      <c r="D139" s="102">
        <v>18</v>
      </c>
      <c r="E139" s="103"/>
      <c r="F139" s="101"/>
      <c r="G139" s="101">
        <v>1208</v>
      </c>
      <c r="H139" s="132" t="s">
        <v>441</v>
      </c>
      <c r="I139" s="104">
        <v>45587</v>
      </c>
      <c r="J139" s="124" t="s">
        <v>452</v>
      </c>
      <c r="M139" s="238">
        <v>0.76500000000000001</v>
      </c>
      <c r="N139" s="108">
        <v>1.613</v>
      </c>
      <c r="O139" s="130">
        <f t="shared" si="11"/>
        <v>72.644864249948498</v>
      </c>
      <c r="P139" s="108"/>
      <c r="Q139" s="240">
        <v>1.6220000000000001</v>
      </c>
      <c r="R139" s="108">
        <v>15</v>
      </c>
      <c r="S139" s="108">
        <f>58-14.22</f>
        <v>43.78</v>
      </c>
      <c r="T139" s="108"/>
      <c r="U139" s="108">
        <v>5</v>
      </c>
      <c r="V139" s="216">
        <f t="shared" si="8"/>
        <v>6.69834</v>
      </c>
      <c r="W139" s="108"/>
      <c r="X139" s="213">
        <f t="shared" si="9"/>
        <v>72.644864249948498</v>
      </c>
      <c r="Y139" s="241">
        <f t="shared" si="10"/>
        <v>0.72241779306514742</v>
      </c>
      <c r="Z139" s="108"/>
      <c r="AA139" s="242"/>
    </row>
    <row r="140" spans="1:27" x14ac:dyDescent="0.25">
      <c r="A140" s="382"/>
      <c r="B140" s="102">
        <v>36</v>
      </c>
      <c r="C140" s="103" t="s">
        <v>24</v>
      </c>
      <c r="D140" s="102">
        <v>19</v>
      </c>
      <c r="E140" s="103"/>
      <c r="F140" s="101"/>
      <c r="G140" s="101">
        <v>1208</v>
      </c>
      <c r="H140" s="101" t="s">
        <v>441</v>
      </c>
      <c r="I140" s="104">
        <v>45586</v>
      </c>
      <c r="J140" s="124" t="s">
        <v>453</v>
      </c>
      <c r="M140" s="238">
        <v>0.92900000000000005</v>
      </c>
      <c r="N140" s="108">
        <v>1.756</v>
      </c>
      <c r="O140" s="130">
        <f t="shared" si="11"/>
        <v>84.599438743679883</v>
      </c>
      <c r="P140" s="108"/>
      <c r="Q140" s="240">
        <f>1.832/0.9</f>
        <v>2.0355555555555558</v>
      </c>
      <c r="R140" s="108">
        <v>15</v>
      </c>
      <c r="S140" s="108">
        <f>53.71-14.86</f>
        <v>38.85</v>
      </c>
      <c r="T140" s="108"/>
      <c r="U140" s="108">
        <v>5</v>
      </c>
      <c r="V140" s="216">
        <f t="shared" si="8"/>
        <v>7.2183299999999999</v>
      </c>
      <c r="W140" s="108"/>
      <c r="X140" s="213">
        <f t="shared" si="9"/>
        <v>84.599438743679883</v>
      </c>
      <c r="Y140" s="241">
        <f t="shared" si="10"/>
        <v>0.72980869536305482</v>
      </c>
      <c r="Z140" s="108"/>
      <c r="AA140" s="242"/>
    </row>
    <row r="141" spans="1:27" s="180" customFormat="1" x14ac:dyDescent="0.25">
      <c r="A141" s="392"/>
      <c r="B141" s="112">
        <v>36</v>
      </c>
      <c r="C141" s="111" t="s">
        <v>24</v>
      </c>
      <c r="D141" s="112">
        <v>20</v>
      </c>
      <c r="E141" s="111"/>
      <c r="F141" s="113"/>
      <c r="G141" s="113">
        <v>1208</v>
      </c>
      <c r="H141" s="113" t="s">
        <v>441</v>
      </c>
      <c r="I141" s="114">
        <v>45586</v>
      </c>
      <c r="J141" s="209" t="s">
        <v>454</v>
      </c>
      <c r="K141" s="175"/>
      <c r="L141" s="179"/>
      <c r="M141" s="238">
        <v>0.77</v>
      </c>
      <c r="N141" s="118">
        <v>1.5589999999999999</v>
      </c>
      <c r="O141" s="130">
        <f t="shared" si="11"/>
        <v>82.50181285509332</v>
      </c>
      <c r="P141" s="118"/>
      <c r="Q141" s="243">
        <f>1.586/0.9</f>
        <v>1.7622222222222224</v>
      </c>
      <c r="R141" s="118">
        <v>15</v>
      </c>
      <c r="S141" s="118">
        <f>55.8-14.19</f>
        <v>41.61</v>
      </c>
      <c r="T141" s="118"/>
      <c r="U141" s="118">
        <v>5</v>
      </c>
      <c r="V141" s="216">
        <f t="shared" si="8"/>
        <v>6.4079400000000009</v>
      </c>
      <c r="W141" s="118"/>
      <c r="X141" s="213">
        <f t="shared" si="9"/>
        <v>82.50181285509332</v>
      </c>
      <c r="Y141" s="241">
        <f t="shared" si="10"/>
        <v>0.72987574790026111</v>
      </c>
      <c r="Z141" s="118"/>
      <c r="AA141" s="244"/>
    </row>
    <row r="142" spans="1:27" s="186" customFormat="1" x14ac:dyDescent="0.25">
      <c r="A142" s="381" t="s">
        <v>428</v>
      </c>
      <c r="B142" s="93">
        <v>37</v>
      </c>
      <c r="C142" s="94" t="s">
        <v>45</v>
      </c>
      <c r="D142" s="93">
        <v>1</v>
      </c>
      <c r="E142" s="94"/>
      <c r="F142" s="92"/>
      <c r="G142" s="92">
        <v>1206</v>
      </c>
      <c r="H142" s="92" t="s">
        <v>436</v>
      </c>
      <c r="I142" s="95">
        <v>45597</v>
      </c>
      <c r="J142" s="94" t="s">
        <v>455</v>
      </c>
      <c r="K142" s="182"/>
      <c r="L142" s="185"/>
      <c r="M142" s="100">
        <v>0.90400000000000003</v>
      </c>
      <c r="N142" s="100">
        <v>2.5939999999999999</v>
      </c>
      <c r="O142" s="100"/>
      <c r="P142" s="100"/>
      <c r="Q142" s="100">
        <v>2.7730000000000001</v>
      </c>
      <c r="R142" s="100">
        <v>11.651999999999999</v>
      </c>
      <c r="S142" s="100">
        <v>48</v>
      </c>
      <c r="T142" s="100"/>
      <c r="U142" s="100">
        <v>5</v>
      </c>
      <c r="V142" s="202">
        <f t="shared" si="8"/>
        <v>8.6783999999999999</v>
      </c>
      <c r="W142" s="100"/>
      <c r="X142" s="199">
        <f t="shared" si="9"/>
        <v>74.463025442477885</v>
      </c>
      <c r="Y142" s="203">
        <f t="shared" si="10"/>
        <v>0.69656360619469015</v>
      </c>
      <c r="Z142" s="100"/>
    </row>
    <row r="143" spans="1:27" s="146" customFormat="1" x14ac:dyDescent="0.25">
      <c r="A143" s="383"/>
      <c r="B143" s="110">
        <v>37</v>
      </c>
      <c r="C143" s="119" t="s">
        <v>45</v>
      </c>
      <c r="D143" s="110">
        <v>2</v>
      </c>
      <c r="E143" s="119"/>
      <c r="F143" s="109"/>
      <c r="G143" s="109">
        <v>1208</v>
      </c>
      <c r="H143" s="109" t="s">
        <v>441</v>
      </c>
      <c r="I143" s="165">
        <v>45597</v>
      </c>
      <c r="J143" s="229" t="s">
        <v>456</v>
      </c>
      <c r="K143" s="166"/>
      <c r="L143" s="143"/>
      <c r="M143" s="123">
        <v>0.40699999999999997</v>
      </c>
      <c r="N143" s="123">
        <v>1.4359999999999999</v>
      </c>
      <c r="O143" s="123"/>
      <c r="P143" s="123"/>
      <c r="Q143" s="123">
        <v>1.349</v>
      </c>
      <c r="R143" s="123">
        <v>9.4629999999999992</v>
      </c>
      <c r="S143" s="123">
        <v>50.805999999999997</v>
      </c>
      <c r="T143" s="123"/>
      <c r="U143" s="123">
        <v>5</v>
      </c>
      <c r="V143" s="230">
        <f t="shared" si="8"/>
        <v>4.1356083999999997</v>
      </c>
      <c r="W143" s="123"/>
      <c r="X143" s="226">
        <f t="shared" si="9"/>
        <v>61.734989221900214</v>
      </c>
      <c r="Y143" s="231">
        <f t="shared" si="10"/>
        <v>0.65716415509747006</v>
      </c>
      <c r="Z143" s="123"/>
    </row>
    <row r="144" spans="1:27" s="155" customFormat="1" x14ac:dyDescent="0.25">
      <c r="A144" s="381" t="s">
        <v>428</v>
      </c>
      <c r="B144" s="125">
        <v>38</v>
      </c>
      <c r="C144" s="124" t="s">
        <v>45</v>
      </c>
      <c r="D144" s="125">
        <v>1</v>
      </c>
      <c r="E144" s="124"/>
      <c r="F144" s="126"/>
      <c r="G144" s="126">
        <v>1206</v>
      </c>
      <c r="H144" s="126" t="s">
        <v>436</v>
      </c>
      <c r="I144" s="152">
        <v>45622</v>
      </c>
      <c r="J144" s="124" t="s">
        <v>457</v>
      </c>
      <c r="K144" s="153"/>
      <c r="L144" s="154"/>
      <c r="M144" s="130">
        <v>1.151</v>
      </c>
      <c r="N144" s="130">
        <v>1.3380000000000001</v>
      </c>
      <c r="O144" s="134">
        <f>((Q144*R144)/(M144*S144))*100</f>
        <v>49.602576671244307</v>
      </c>
      <c r="P144" s="130"/>
      <c r="Q144" s="130">
        <v>1.8380000000000001</v>
      </c>
      <c r="R144" s="130">
        <v>15</v>
      </c>
      <c r="S144" s="238">
        <v>48.29</v>
      </c>
      <c r="T144" s="130"/>
      <c r="U144" s="130"/>
      <c r="V144" s="130"/>
      <c r="W144" s="245"/>
      <c r="X144" s="129"/>
      <c r="Y144" s="130"/>
      <c r="Z144" s="130"/>
    </row>
    <row r="145" spans="1:26" s="155" customFormat="1" x14ac:dyDescent="0.25">
      <c r="A145" s="382"/>
      <c r="B145" s="158">
        <v>38</v>
      </c>
      <c r="C145" s="209" t="s">
        <v>45</v>
      </c>
      <c r="D145" s="158">
        <v>2</v>
      </c>
      <c r="E145" s="209"/>
      <c r="F145" s="157"/>
      <c r="G145" s="157">
        <v>1206</v>
      </c>
      <c r="H145" s="157" t="s">
        <v>436</v>
      </c>
      <c r="I145" s="104">
        <v>45622</v>
      </c>
      <c r="J145" s="124" t="s">
        <v>458</v>
      </c>
      <c r="K145" s="153"/>
      <c r="L145" s="154"/>
      <c r="M145" s="130">
        <v>0.52200000000000002</v>
      </c>
      <c r="N145" s="130"/>
      <c r="O145" s="130"/>
      <c r="P145" s="130"/>
      <c r="Q145" s="130"/>
      <c r="R145" s="130"/>
      <c r="S145" s="238">
        <v>0</v>
      </c>
      <c r="T145" s="130"/>
      <c r="U145" s="130"/>
      <c r="V145" s="130"/>
      <c r="W145" s="130"/>
      <c r="X145" s="98"/>
      <c r="Y145" s="130"/>
      <c r="Z145" s="130"/>
    </row>
    <row r="146" spans="1:26" s="146" customFormat="1" x14ac:dyDescent="0.25">
      <c r="A146" s="383"/>
      <c r="B146" s="110">
        <v>38</v>
      </c>
      <c r="C146" s="119" t="s">
        <v>45</v>
      </c>
      <c r="D146" s="110">
        <v>4</v>
      </c>
      <c r="E146" s="119"/>
      <c r="F146" s="109"/>
      <c r="G146" s="109">
        <v>1206</v>
      </c>
      <c r="H146" s="109" t="s">
        <v>436</v>
      </c>
      <c r="I146" s="165">
        <v>45622</v>
      </c>
      <c r="J146" s="229" t="s">
        <v>459</v>
      </c>
      <c r="K146" s="166"/>
      <c r="L146" s="143"/>
      <c r="M146" s="123">
        <v>0.64100000000000001</v>
      </c>
      <c r="N146" s="123">
        <v>2.78</v>
      </c>
      <c r="O146" s="145">
        <f>((Q146*R146)/(M146*S146))*100</f>
        <v>135.25051794890032</v>
      </c>
      <c r="P146" s="123"/>
      <c r="Q146" s="123">
        <v>2.8650000000000002</v>
      </c>
      <c r="R146" s="123">
        <v>15</v>
      </c>
      <c r="S146" s="246">
        <v>49.57</v>
      </c>
      <c r="T146" s="123"/>
      <c r="U146" s="123"/>
      <c r="V146" s="123"/>
      <c r="W146" s="144"/>
      <c r="X146" s="247"/>
    </row>
    <row r="147" spans="1:26" s="155" customFormat="1" x14ac:dyDescent="0.25">
      <c r="A147" s="381" t="s">
        <v>428</v>
      </c>
      <c r="B147" s="125">
        <v>39</v>
      </c>
      <c r="C147" s="124" t="s">
        <v>24</v>
      </c>
      <c r="D147" s="125">
        <v>1</v>
      </c>
      <c r="E147" s="124"/>
      <c r="F147" s="126"/>
      <c r="G147" s="126">
        <v>1206</v>
      </c>
      <c r="H147" s="126" t="s">
        <v>436</v>
      </c>
      <c r="I147" s="152">
        <v>45622</v>
      </c>
      <c r="J147" s="124" t="s">
        <v>460</v>
      </c>
      <c r="K147" s="153"/>
      <c r="L147" s="154"/>
      <c r="M147" s="130">
        <v>1.546</v>
      </c>
      <c r="N147" s="130">
        <v>3.577</v>
      </c>
      <c r="O147" s="248">
        <f>((Q147*R147)/(M147*S147))*100</f>
        <v>83.873657631820947</v>
      </c>
      <c r="P147" s="130"/>
      <c r="Q147" s="130">
        <v>4.0179999999999998</v>
      </c>
      <c r="R147" s="130">
        <v>15</v>
      </c>
      <c r="S147" s="238">
        <v>46.48</v>
      </c>
      <c r="T147" s="130"/>
      <c r="U147" s="130"/>
      <c r="V147" s="130"/>
      <c r="W147" s="130"/>
      <c r="X147" s="129"/>
    </row>
    <row r="148" spans="1:26" x14ac:dyDescent="0.25">
      <c r="A148" s="382"/>
      <c r="B148" s="125">
        <v>39</v>
      </c>
      <c r="C148" s="103" t="s">
        <v>24</v>
      </c>
      <c r="D148" s="102">
        <v>2</v>
      </c>
      <c r="E148" s="103"/>
      <c r="F148" s="101"/>
      <c r="G148" s="157">
        <v>1206</v>
      </c>
      <c r="H148" s="157" t="s">
        <v>436</v>
      </c>
      <c r="I148" s="104">
        <v>45622</v>
      </c>
      <c r="J148" s="124" t="s">
        <v>461</v>
      </c>
      <c r="M148" s="108">
        <v>1.7609999999999999</v>
      </c>
      <c r="N148" s="108">
        <v>3.9910000000000001</v>
      </c>
      <c r="O148" s="248">
        <f t="shared" ref="O148:O163" si="12">((Q148*R148)/(M148*S148))*100</f>
        <v>63.444334651822189</v>
      </c>
      <c r="P148" s="108"/>
      <c r="Q148" s="108">
        <v>3.4620000000000002</v>
      </c>
      <c r="R148" s="108">
        <v>15</v>
      </c>
      <c r="S148" s="238">
        <v>46.48</v>
      </c>
      <c r="T148" s="108"/>
      <c r="U148" s="108"/>
      <c r="V148" s="108"/>
      <c r="W148" s="130"/>
      <c r="X148" s="98"/>
    </row>
    <row r="149" spans="1:26" x14ac:dyDescent="0.25">
      <c r="A149" s="382"/>
      <c r="B149" s="125">
        <v>39</v>
      </c>
      <c r="C149" s="103" t="s">
        <v>24</v>
      </c>
      <c r="D149" s="102">
        <v>3</v>
      </c>
      <c r="E149" s="103"/>
      <c r="F149" s="101"/>
      <c r="G149" s="157">
        <v>1206</v>
      </c>
      <c r="H149" s="157" t="s">
        <v>436</v>
      </c>
      <c r="I149" s="104">
        <v>45622</v>
      </c>
      <c r="J149" s="124" t="s">
        <v>462</v>
      </c>
      <c r="M149" s="108">
        <v>1.6970000000000001</v>
      </c>
      <c r="N149" s="108">
        <v>3.9529999999999998</v>
      </c>
      <c r="O149" s="248">
        <f t="shared" si="12"/>
        <v>51.322775516965415</v>
      </c>
      <c r="P149" s="108"/>
      <c r="Q149" s="108">
        <v>2.7759999999999998</v>
      </c>
      <c r="R149" s="108">
        <v>15</v>
      </c>
      <c r="S149" s="238">
        <v>47.81</v>
      </c>
      <c r="T149" s="108"/>
      <c r="U149" s="108"/>
      <c r="V149" s="108"/>
      <c r="W149" s="130"/>
      <c r="X149" s="98"/>
    </row>
    <row r="150" spans="1:26" x14ac:dyDescent="0.25">
      <c r="A150" s="382"/>
      <c r="B150" s="125">
        <v>39</v>
      </c>
      <c r="C150" s="103" t="s">
        <v>24</v>
      </c>
      <c r="D150" s="102">
        <v>4</v>
      </c>
      <c r="E150" s="103"/>
      <c r="F150" s="101"/>
      <c r="G150" s="157">
        <v>1206</v>
      </c>
      <c r="H150" s="157" t="s">
        <v>436</v>
      </c>
      <c r="I150" s="104">
        <v>45622</v>
      </c>
      <c r="J150" s="124" t="s">
        <v>463</v>
      </c>
      <c r="M150" s="108">
        <v>1.5940000000000001</v>
      </c>
      <c r="N150" s="108">
        <v>3.13</v>
      </c>
      <c r="O150" s="248">
        <f t="shared" si="12"/>
        <v>59.761567652396785</v>
      </c>
      <c r="P150" s="108"/>
      <c r="Q150" s="108">
        <v>2.492</v>
      </c>
      <c r="R150" s="108">
        <v>15</v>
      </c>
      <c r="S150" s="238">
        <v>39.24</v>
      </c>
      <c r="T150" s="108"/>
      <c r="U150" s="108"/>
      <c r="V150" s="108"/>
      <c r="W150" s="130"/>
      <c r="X150" s="98"/>
    </row>
    <row r="151" spans="1:26" x14ac:dyDescent="0.25">
      <c r="A151" s="382"/>
      <c r="B151" s="125">
        <v>39</v>
      </c>
      <c r="C151" s="103" t="s">
        <v>24</v>
      </c>
      <c r="D151" s="102">
        <v>5</v>
      </c>
      <c r="E151" s="103"/>
      <c r="F151" s="101"/>
      <c r="G151" s="157">
        <v>1206</v>
      </c>
      <c r="H151" s="157" t="s">
        <v>436</v>
      </c>
      <c r="I151" s="104">
        <v>45622</v>
      </c>
      <c r="J151" s="124" t="s">
        <v>464</v>
      </c>
      <c r="M151" s="108">
        <v>1.6779999999999999</v>
      </c>
      <c r="N151" s="108">
        <v>3.7749999999999999</v>
      </c>
      <c r="O151" s="248">
        <f t="shared" si="12"/>
        <v>52.460813391677753</v>
      </c>
      <c r="P151" s="108"/>
      <c r="Q151" s="108">
        <v>2.6890000000000001</v>
      </c>
      <c r="R151" s="108">
        <v>15</v>
      </c>
      <c r="S151" s="238">
        <v>45.82</v>
      </c>
      <c r="W151" s="130"/>
      <c r="X151" s="98"/>
    </row>
    <row r="152" spans="1:26" x14ac:dyDescent="0.25">
      <c r="A152" s="382"/>
      <c r="B152" s="125">
        <v>39</v>
      </c>
      <c r="C152" s="103" t="s">
        <v>24</v>
      </c>
      <c r="D152" s="102">
        <v>6</v>
      </c>
      <c r="E152" s="103"/>
      <c r="F152" s="101"/>
      <c r="G152" s="157">
        <v>1206</v>
      </c>
      <c r="H152" s="157" t="s">
        <v>436</v>
      </c>
      <c r="I152" s="104">
        <v>45622</v>
      </c>
      <c r="J152" s="124" t="s">
        <v>465</v>
      </c>
      <c r="M152" s="108">
        <v>1.7470000000000001</v>
      </c>
      <c r="N152" s="108">
        <v>3.92</v>
      </c>
      <c r="O152" s="248">
        <f t="shared" si="12"/>
        <v>60.328985026963522</v>
      </c>
      <c r="P152" s="108"/>
      <c r="Q152" s="108">
        <v>3.2040000000000002</v>
      </c>
      <c r="R152" s="108">
        <v>15</v>
      </c>
      <c r="S152" s="238">
        <v>45.6</v>
      </c>
      <c r="W152" s="130"/>
      <c r="X152" s="98"/>
    </row>
    <row r="153" spans="1:26" x14ac:dyDescent="0.25">
      <c r="A153" s="382"/>
      <c r="B153" s="125">
        <v>39</v>
      </c>
      <c r="C153" s="103" t="s">
        <v>24</v>
      </c>
      <c r="D153" s="102">
        <v>7</v>
      </c>
      <c r="E153" s="103"/>
      <c r="F153" s="101"/>
      <c r="G153" s="157">
        <v>1206</v>
      </c>
      <c r="H153" s="157" t="s">
        <v>436</v>
      </c>
      <c r="I153" s="104">
        <v>45622</v>
      </c>
      <c r="J153" s="124" t="s">
        <v>466</v>
      </c>
      <c r="M153" s="108">
        <v>1.647</v>
      </c>
      <c r="N153" s="108">
        <v>3.653</v>
      </c>
      <c r="O153" s="248">
        <f t="shared" si="12"/>
        <v>55.693150397714611</v>
      </c>
      <c r="P153" s="108"/>
      <c r="Q153" s="108">
        <v>2.6349999999999998</v>
      </c>
      <c r="R153" s="108">
        <v>15</v>
      </c>
      <c r="S153" s="238">
        <v>43.09</v>
      </c>
      <c r="W153" s="130"/>
      <c r="X153" s="98"/>
    </row>
    <row r="154" spans="1:26" x14ac:dyDescent="0.25">
      <c r="A154" s="382"/>
      <c r="B154" s="125">
        <v>39</v>
      </c>
      <c r="C154" s="103" t="s">
        <v>24</v>
      </c>
      <c r="D154" s="102">
        <v>8</v>
      </c>
      <c r="E154" s="103"/>
      <c r="F154" s="101"/>
      <c r="G154" s="157">
        <v>1206</v>
      </c>
      <c r="H154" s="157" t="s">
        <v>436</v>
      </c>
      <c r="I154" s="104">
        <v>45622</v>
      </c>
      <c r="J154" s="124" t="s">
        <v>467</v>
      </c>
      <c r="M154" s="108">
        <v>1.6719999999999999</v>
      </c>
      <c r="N154" s="108">
        <v>3.4820000000000002</v>
      </c>
      <c r="O154" s="248">
        <f t="shared" si="12"/>
        <v>71.965871258879901</v>
      </c>
      <c r="P154" s="108"/>
      <c r="Q154" s="108">
        <v>3.3860000000000001</v>
      </c>
      <c r="R154" s="108">
        <v>15</v>
      </c>
      <c r="S154" s="238">
        <v>42.21</v>
      </c>
      <c r="W154" s="130"/>
      <c r="X154" s="98"/>
    </row>
    <row r="155" spans="1:26" x14ac:dyDescent="0.25">
      <c r="A155" s="382"/>
      <c r="B155" s="125">
        <v>39</v>
      </c>
      <c r="C155" s="103" t="s">
        <v>24</v>
      </c>
      <c r="D155" s="102">
        <v>9</v>
      </c>
      <c r="E155" s="103"/>
      <c r="F155" s="101"/>
      <c r="G155" s="157">
        <v>1206</v>
      </c>
      <c r="H155" s="157" t="s">
        <v>436</v>
      </c>
      <c r="I155" s="104">
        <v>45622</v>
      </c>
      <c r="J155" s="124" t="s">
        <v>468</v>
      </c>
      <c r="M155" s="108">
        <v>1.6759999999999999</v>
      </c>
      <c r="N155" s="108">
        <v>3.4209999999999998</v>
      </c>
      <c r="O155" s="248">
        <f t="shared" si="12"/>
        <v>59.843330751624357</v>
      </c>
      <c r="P155" s="108"/>
      <c r="Q155" s="108">
        <v>3.0350000000000001</v>
      </c>
      <c r="R155" s="108">
        <v>15</v>
      </c>
      <c r="S155" s="238">
        <v>45.39</v>
      </c>
      <c r="W155" s="130"/>
      <c r="X155" s="98"/>
    </row>
    <row r="156" spans="1:26" x14ac:dyDescent="0.25">
      <c r="A156" s="382"/>
      <c r="B156" s="125">
        <v>39</v>
      </c>
      <c r="C156" s="103" t="s">
        <v>24</v>
      </c>
      <c r="D156" s="102">
        <v>10</v>
      </c>
      <c r="E156" s="103"/>
      <c r="F156" s="101"/>
      <c r="G156" s="157">
        <v>1206</v>
      </c>
      <c r="H156" s="157" t="s">
        <v>436</v>
      </c>
      <c r="I156" s="104">
        <v>45622</v>
      </c>
      <c r="J156" s="124" t="s">
        <v>469</v>
      </c>
      <c r="M156" s="108">
        <v>1.63</v>
      </c>
      <c r="N156" s="108">
        <v>3.4049999999999998</v>
      </c>
      <c r="O156" s="248">
        <f t="shared" si="12"/>
        <v>63.433043119389829</v>
      </c>
      <c r="P156" s="108"/>
      <c r="Q156" s="108">
        <v>3.1970000000000001</v>
      </c>
      <c r="R156" s="108">
        <v>15</v>
      </c>
      <c r="S156" s="238">
        <v>46.38</v>
      </c>
      <c r="W156" s="130"/>
      <c r="X156" s="98"/>
    </row>
    <row r="157" spans="1:26" x14ac:dyDescent="0.25">
      <c r="A157" s="382"/>
      <c r="B157" s="125">
        <v>39</v>
      </c>
      <c r="C157" s="103" t="s">
        <v>24</v>
      </c>
      <c r="D157" s="102">
        <v>11</v>
      </c>
      <c r="E157" s="103"/>
      <c r="F157" s="101"/>
      <c r="G157" s="157">
        <v>1206</v>
      </c>
      <c r="H157" s="157" t="s">
        <v>436</v>
      </c>
      <c r="I157" s="104">
        <v>45622</v>
      </c>
      <c r="J157" s="124" t="s">
        <v>470</v>
      </c>
      <c r="M157" s="108">
        <v>1.643</v>
      </c>
      <c r="N157" s="108">
        <v>3.323</v>
      </c>
      <c r="O157" s="248">
        <f t="shared" si="12"/>
        <v>62.760109847965715</v>
      </c>
      <c r="P157" s="108"/>
      <c r="Q157" s="108">
        <v>3.1779999999999999</v>
      </c>
      <c r="R157" s="108">
        <v>15</v>
      </c>
      <c r="S157" s="238">
        <v>46.23</v>
      </c>
      <c r="W157" s="130"/>
      <c r="X157" s="98"/>
    </row>
    <row r="158" spans="1:26" x14ac:dyDescent="0.25">
      <c r="A158" s="382"/>
      <c r="B158" s="125">
        <v>39</v>
      </c>
      <c r="C158" s="103" t="s">
        <v>24</v>
      </c>
      <c r="D158" s="102">
        <v>12</v>
      </c>
      <c r="E158" s="103"/>
      <c r="F158" s="101"/>
      <c r="G158" s="157">
        <v>1206</v>
      </c>
      <c r="H158" s="157" t="s">
        <v>436</v>
      </c>
      <c r="I158" s="104">
        <v>45622</v>
      </c>
      <c r="J158" s="124" t="s">
        <v>471</v>
      </c>
      <c r="M158" s="108">
        <v>1.74</v>
      </c>
      <c r="N158" s="108">
        <v>3.1749999999999998</v>
      </c>
      <c r="O158" s="248">
        <f t="shared" si="12"/>
        <v>44.825376245865542</v>
      </c>
      <c r="P158" s="108"/>
      <c r="Q158" s="108">
        <v>2.4340000000000002</v>
      </c>
      <c r="R158" s="108">
        <v>15</v>
      </c>
      <c r="S158" s="238">
        <v>46.81</v>
      </c>
      <c r="W158" s="130"/>
      <c r="X158" s="98"/>
    </row>
    <row r="159" spans="1:26" x14ac:dyDescent="0.25">
      <c r="A159" s="382"/>
      <c r="B159" s="125">
        <v>39</v>
      </c>
      <c r="C159" s="103" t="s">
        <v>24</v>
      </c>
      <c r="D159" s="102">
        <v>13</v>
      </c>
      <c r="E159" s="103"/>
      <c r="F159" s="101"/>
      <c r="G159" s="157">
        <v>1206</v>
      </c>
      <c r="H159" s="157" t="s">
        <v>436</v>
      </c>
      <c r="I159" s="104">
        <v>45622</v>
      </c>
      <c r="J159" s="124" t="s">
        <v>472</v>
      </c>
      <c r="M159" s="108">
        <v>1.5189999999999999</v>
      </c>
      <c r="N159" s="108">
        <v>3.5369999999999999</v>
      </c>
      <c r="O159" s="248">
        <f t="shared" si="12"/>
        <v>53.875221281109532</v>
      </c>
      <c r="P159" s="108"/>
      <c r="Q159" s="108">
        <v>2.4420000000000002</v>
      </c>
      <c r="R159" s="108">
        <v>15</v>
      </c>
      <c r="S159" s="238">
        <v>44.76</v>
      </c>
      <c r="W159" s="130"/>
      <c r="X159" s="98"/>
    </row>
    <row r="160" spans="1:26" x14ac:dyDescent="0.25">
      <c r="A160" s="382"/>
      <c r="B160" s="125">
        <v>39</v>
      </c>
      <c r="C160" s="103" t="s">
        <v>24</v>
      </c>
      <c r="D160" s="102">
        <v>14</v>
      </c>
      <c r="E160" s="103"/>
      <c r="F160" s="101"/>
      <c r="G160" s="157">
        <v>1206</v>
      </c>
      <c r="H160" s="157" t="s">
        <v>436</v>
      </c>
      <c r="I160" s="104">
        <v>45622</v>
      </c>
      <c r="J160" s="124" t="s">
        <v>473</v>
      </c>
      <c r="M160" s="108">
        <v>1.5529999999999999</v>
      </c>
      <c r="N160" s="108">
        <v>3.3719999999999999</v>
      </c>
      <c r="O160" s="248">
        <f t="shared" si="12"/>
        <v>57.157909701373967</v>
      </c>
      <c r="P160" s="108"/>
      <c r="Q160" s="108">
        <v>2.734</v>
      </c>
      <c r="R160" s="108">
        <v>15</v>
      </c>
      <c r="S160" s="238">
        <v>46.2</v>
      </c>
      <c r="W160" s="130"/>
      <c r="X160" s="98"/>
    </row>
    <row r="161" spans="1:24" x14ac:dyDescent="0.25">
      <c r="A161" s="382"/>
      <c r="B161" s="125">
        <v>39</v>
      </c>
      <c r="C161" s="103" t="s">
        <v>24</v>
      </c>
      <c r="D161" s="102">
        <v>15</v>
      </c>
      <c r="E161" s="103"/>
      <c r="F161" s="101"/>
      <c r="G161" s="157">
        <v>1206</v>
      </c>
      <c r="H161" s="157" t="s">
        <v>436</v>
      </c>
      <c r="I161" s="104">
        <v>45622</v>
      </c>
      <c r="J161" s="124" t="s">
        <v>474</v>
      </c>
      <c r="M161" s="108">
        <v>1.333</v>
      </c>
      <c r="N161" s="108">
        <v>2.8239999999999998</v>
      </c>
      <c r="O161" s="248">
        <f t="shared" si="12"/>
        <v>71.172747103826666</v>
      </c>
      <c r="P161" s="108"/>
      <c r="Q161" s="108">
        <v>2.7450000000000001</v>
      </c>
      <c r="R161" s="108">
        <v>15</v>
      </c>
      <c r="S161" s="238">
        <v>43.4</v>
      </c>
      <c r="W161" s="130"/>
      <c r="X161" s="98"/>
    </row>
    <row r="162" spans="1:24" x14ac:dyDescent="0.25">
      <c r="A162" s="382"/>
      <c r="B162" s="125">
        <v>39</v>
      </c>
      <c r="C162" s="103" t="s">
        <v>24</v>
      </c>
      <c r="D162" s="102">
        <v>16</v>
      </c>
      <c r="E162" s="103"/>
      <c r="F162" s="101"/>
      <c r="G162" s="157">
        <v>1206</v>
      </c>
      <c r="H162" s="157" t="s">
        <v>436</v>
      </c>
      <c r="I162" s="104">
        <v>45622</v>
      </c>
      <c r="J162" s="124" t="s">
        <v>475</v>
      </c>
      <c r="M162" s="108">
        <v>1.6819999999999999</v>
      </c>
      <c r="N162" s="108">
        <v>3.5750000000000002</v>
      </c>
      <c r="O162" s="248">
        <f>((Q162*R162)/(M162*S162))*100</f>
        <v>76.312847179086731</v>
      </c>
      <c r="P162" s="108"/>
      <c r="Q162" s="108">
        <v>4.3</v>
      </c>
      <c r="R162" s="108">
        <v>15</v>
      </c>
      <c r="S162" s="238">
        <v>50.25</v>
      </c>
      <c r="W162" s="130"/>
      <c r="X162" s="98"/>
    </row>
    <row r="163" spans="1:24" s="146" customFormat="1" x14ac:dyDescent="0.25">
      <c r="A163" s="382"/>
      <c r="B163" s="163">
        <v>39</v>
      </c>
      <c r="C163" s="119" t="s">
        <v>24</v>
      </c>
      <c r="D163" s="110">
        <v>17</v>
      </c>
      <c r="E163" s="119"/>
      <c r="F163" s="109"/>
      <c r="G163" s="162">
        <v>1206</v>
      </c>
      <c r="H163" s="162" t="s">
        <v>436</v>
      </c>
      <c r="I163" s="165">
        <v>45622</v>
      </c>
      <c r="J163" s="229" t="s">
        <v>476</v>
      </c>
      <c r="K163" s="166"/>
      <c r="L163" s="143"/>
      <c r="M163" s="123">
        <v>1.349</v>
      </c>
      <c r="N163" s="123">
        <v>3.0390000000000001</v>
      </c>
      <c r="O163" s="249">
        <f t="shared" si="12"/>
        <v>92.740624605641315</v>
      </c>
      <c r="P163" s="123"/>
      <c r="Q163" s="123">
        <v>3.6989999999999998</v>
      </c>
      <c r="R163" s="123">
        <v>15</v>
      </c>
      <c r="S163" s="246">
        <v>44.35</v>
      </c>
      <c r="W163" s="144"/>
      <c r="X163" s="247"/>
    </row>
    <row r="164" spans="1:24" s="218" customFormat="1" x14ac:dyDescent="0.25">
      <c r="A164" s="381" t="s">
        <v>428</v>
      </c>
      <c r="B164" s="158">
        <v>40</v>
      </c>
      <c r="C164" s="209" t="s">
        <v>45</v>
      </c>
      <c r="D164" s="158">
        <v>1</v>
      </c>
      <c r="E164" s="209"/>
      <c r="F164" s="157"/>
      <c r="G164" s="157">
        <v>1206</v>
      </c>
      <c r="H164" s="157" t="s">
        <v>436</v>
      </c>
      <c r="I164" s="250"/>
      <c r="J164" s="209" t="s">
        <v>477</v>
      </c>
      <c r="K164" s="206"/>
      <c r="L164" s="210"/>
      <c r="M164" s="251">
        <v>1.5880000000000001</v>
      </c>
      <c r="N164" s="251">
        <v>3.8580000000000001</v>
      </c>
      <c r="O164" s="252"/>
      <c r="P164" s="251"/>
      <c r="Q164" s="209"/>
      <c r="R164" s="251">
        <v>15</v>
      </c>
      <c r="S164" s="238">
        <v>43.158999999999999</v>
      </c>
      <c r="W164" s="251"/>
      <c r="X164" s="253"/>
    </row>
    <row r="165" spans="1:24" s="218" customFormat="1" x14ac:dyDescent="0.25">
      <c r="A165" s="382"/>
      <c r="B165" s="158">
        <v>40</v>
      </c>
      <c r="C165" s="209" t="s">
        <v>45</v>
      </c>
      <c r="D165" s="158">
        <v>2</v>
      </c>
      <c r="E165" s="209"/>
      <c r="F165" s="157"/>
      <c r="G165" s="157">
        <v>1206</v>
      </c>
      <c r="H165" s="157" t="s">
        <v>436</v>
      </c>
      <c r="I165" s="250"/>
      <c r="J165" s="209" t="s">
        <v>478</v>
      </c>
      <c r="K165" s="206"/>
      <c r="L165" s="210"/>
      <c r="M165" s="251">
        <v>2.0179999999999998</v>
      </c>
      <c r="N165" s="251">
        <v>5.0369999999999999</v>
      </c>
      <c r="O165" s="252"/>
      <c r="P165" s="251"/>
      <c r="Q165" s="209"/>
      <c r="R165" s="251">
        <v>15</v>
      </c>
      <c r="S165" s="238">
        <v>44.243000000000002</v>
      </c>
      <c r="W165" s="251"/>
      <c r="X165" s="253"/>
    </row>
    <row r="166" spans="1:24" s="232" customFormat="1" x14ac:dyDescent="0.25">
      <c r="A166" s="382"/>
      <c r="B166" s="163">
        <v>40</v>
      </c>
      <c r="C166" s="229" t="s">
        <v>45</v>
      </c>
      <c r="D166" s="158">
        <v>3</v>
      </c>
      <c r="E166" s="229"/>
      <c r="F166" s="162"/>
      <c r="G166" s="162">
        <v>1206</v>
      </c>
      <c r="H166" s="162" t="s">
        <v>436</v>
      </c>
      <c r="I166" s="254"/>
      <c r="J166" s="229" t="s">
        <v>479</v>
      </c>
      <c r="K166" s="220"/>
      <c r="L166" s="223"/>
      <c r="M166" s="144">
        <v>0.92100000000000004</v>
      </c>
      <c r="N166" s="144">
        <v>2.5339999999999998</v>
      </c>
      <c r="O166" s="249"/>
      <c r="P166" s="144"/>
      <c r="Q166" s="229"/>
      <c r="R166" s="144">
        <v>12.647</v>
      </c>
      <c r="S166" s="246">
        <v>37.828000000000003</v>
      </c>
      <c r="W166" s="144"/>
      <c r="X166" s="255"/>
    </row>
    <row r="167" spans="1:24" s="155" customFormat="1" x14ac:dyDescent="0.25">
      <c r="A167" s="381" t="s">
        <v>480</v>
      </c>
      <c r="B167" s="125">
        <v>41</v>
      </c>
      <c r="C167" s="124" t="s">
        <v>24</v>
      </c>
      <c r="D167" s="148">
        <v>1</v>
      </c>
      <c r="E167" s="149"/>
      <c r="F167" s="150"/>
      <c r="G167" s="126">
        <v>1266</v>
      </c>
      <c r="H167" s="126" t="s">
        <v>481</v>
      </c>
      <c r="I167" s="125"/>
      <c r="J167" s="124" t="s">
        <v>482</v>
      </c>
      <c r="K167" s="125"/>
      <c r="L167" s="127"/>
      <c r="M167" s="130">
        <v>0.71699999999999997</v>
      </c>
      <c r="N167" s="130">
        <v>1.758</v>
      </c>
      <c r="O167" s="248">
        <f>((Q167*R167)/(M167*S167))*100</f>
        <v>104.59856780786478</v>
      </c>
      <c r="P167" s="130"/>
      <c r="Q167" s="238">
        <v>2.653</v>
      </c>
      <c r="R167" s="130">
        <v>15</v>
      </c>
      <c r="S167" s="130">
        <v>53.061999999999998</v>
      </c>
    </row>
    <row r="168" spans="1:24" x14ac:dyDescent="0.25">
      <c r="A168" s="382"/>
      <c r="B168" s="102">
        <v>41</v>
      </c>
      <c r="C168" s="103" t="s">
        <v>24</v>
      </c>
      <c r="D168" s="158">
        <v>2</v>
      </c>
      <c r="G168" s="101">
        <v>1267</v>
      </c>
      <c r="H168" s="101" t="s">
        <v>223</v>
      </c>
      <c r="J168" s="124" t="s">
        <v>483</v>
      </c>
      <c r="K168" s="102"/>
      <c r="L168" s="105"/>
      <c r="M168" s="108">
        <v>0.73099999999999998</v>
      </c>
      <c r="N168" s="108">
        <v>1.887</v>
      </c>
      <c r="O168" s="248">
        <f t="shared" ref="O168:O178" si="13">((Q168*R168)/(M168*S168))*100</f>
        <v>125.50704090730511</v>
      </c>
      <c r="P168" s="108"/>
      <c r="Q168" s="238">
        <v>2.7749999999999999</v>
      </c>
      <c r="R168" s="108">
        <v>15</v>
      </c>
      <c r="S168" s="108">
        <v>45.37</v>
      </c>
    </row>
    <row r="169" spans="1:24" x14ac:dyDescent="0.25">
      <c r="A169" s="382"/>
      <c r="B169" s="102">
        <v>41</v>
      </c>
      <c r="C169" s="103" t="s">
        <v>24</v>
      </c>
      <c r="D169" s="158">
        <v>3</v>
      </c>
      <c r="G169" s="101">
        <v>1271</v>
      </c>
      <c r="H169" s="101" t="s">
        <v>484</v>
      </c>
      <c r="J169" s="124" t="s">
        <v>485</v>
      </c>
      <c r="K169" s="102"/>
      <c r="L169" s="105"/>
      <c r="M169" s="108">
        <v>1.3080000000000001</v>
      </c>
      <c r="N169" s="108">
        <v>3.0960000000000001</v>
      </c>
      <c r="O169" s="248">
        <f t="shared" si="13"/>
        <v>105.95083554757146</v>
      </c>
      <c r="P169" s="108"/>
      <c r="Q169" s="238">
        <v>4.1539999999999999</v>
      </c>
      <c r="R169" s="108">
        <v>15</v>
      </c>
      <c r="S169" s="108">
        <v>44.962000000000003</v>
      </c>
    </row>
    <row r="170" spans="1:24" x14ac:dyDescent="0.25">
      <c r="A170" s="382"/>
      <c r="B170" s="102">
        <v>41</v>
      </c>
      <c r="C170" s="103" t="s">
        <v>24</v>
      </c>
      <c r="D170" s="158">
        <v>4</v>
      </c>
      <c r="G170" s="101">
        <v>1273</v>
      </c>
      <c r="H170" s="101" t="s">
        <v>486</v>
      </c>
      <c r="J170" s="124" t="s">
        <v>487</v>
      </c>
      <c r="K170" s="102"/>
      <c r="L170" s="105"/>
      <c r="M170" s="108">
        <v>1.35</v>
      </c>
      <c r="N170" s="108">
        <v>3.254</v>
      </c>
      <c r="O170" s="248">
        <f t="shared" si="13"/>
        <v>103.97397616099822</v>
      </c>
      <c r="P170" s="108"/>
      <c r="Q170" s="238">
        <v>4.2830000000000004</v>
      </c>
      <c r="R170" s="108">
        <v>15</v>
      </c>
      <c r="S170" s="108">
        <v>45.77</v>
      </c>
    </row>
    <row r="171" spans="1:24" x14ac:dyDescent="0.25">
      <c r="A171" s="382"/>
      <c r="B171" s="102">
        <v>41</v>
      </c>
      <c r="C171" s="103" t="s">
        <v>24</v>
      </c>
      <c r="D171" s="158">
        <v>5</v>
      </c>
      <c r="G171" s="101">
        <v>1274</v>
      </c>
      <c r="H171" s="101" t="s">
        <v>488</v>
      </c>
      <c r="J171" s="124" t="s">
        <v>489</v>
      </c>
      <c r="K171" s="102"/>
      <c r="L171" s="105"/>
      <c r="M171" s="108">
        <v>1.8069999999999999</v>
      </c>
      <c r="N171" s="108">
        <v>4.282</v>
      </c>
      <c r="O171" s="248">
        <f t="shared" si="13"/>
        <v>95.474392362018563</v>
      </c>
      <c r="P171" s="108"/>
      <c r="Q171" s="238">
        <v>5.0839999999999996</v>
      </c>
      <c r="R171" s="108">
        <v>15</v>
      </c>
      <c r="S171" s="108">
        <v>44.203000000000003</v>
      </c>
    </row>
    <row r="172" spans="1:24" x14ac:dyDescent="0.25">
      <c r="A172" s="382"/>
      <c r="B172" s="102">
        <v>41</v>
      </c>
      <c r="C172" s="103" t="s">
        <v>24</v>
      </c>
      <c r="D172" s="158">
        <v>6</v>
      </c>
      <c r="G172" s="101">
        <v>1275</v>
      </c>
      <c r="H172" s="101" t="s">
        <v>490</v>
      </c>
      <c r="J172" s="124" t="s">
        <v>491</v>
      </c>
      <c r="K172" s="102"/>
      <c r="L172" s="105"/>
      <c r="M172" s="108">
        <v>0.72599999999999998</v>
      </c>
      <c r="N172" s="108">
        <v>1.796</v>
      </c>
      <c r="O172" s="248">
        <f t="shared" si="13"/>
        <v>126.72740341490747</v>
      </c>
      <c r="P172" s="108"/>
      <c r="Q172" s="238">
        <v>2.8159999999999998</v>
      </c>
      <c r="R172" s="108">
        <v>15</v>
      </c>
      <c r="S172" s="108">
        <v>45.911000000000001</v>
      </c>
    </row>
    <row r="173" spans="1:24" x14ac:dyDescent="0.25">
      <c r="A173" s="382"/>
      <c r="B173" s="102">
        <v>41</v>
      </c>
      <c r="C173" s="103" t="s">
        <v>24</v>
      </c>
      <c r="D173" s="158">
        <v>7</v>
      </c>
      <c r="G173" s="101">
        <v>1266</v>
      </c>
      <c r="H173" s="101" t="s">
        <v>481</v>
      </c>
      <c r="J173" s="124" t="s">
        <v>492</v>
      </c>
      <c r="K173" s="102"/>
      <c r="L173" s="105"/>
      <c r="M173" s="108">
        <v>1.6970000000000001</v>
      </c>
      <c r="N173" s="108">
        <v>3.5630000000000002</v>
      </c>
      <c r="O173" s="248">
        <f t="shared" si="13"/>
        <v>94.914427765361182</v>
      </c>
      <c r="P173" s="108"/>
      <c r="Q173" s="238">
        <v>4.5469999999999997</v>
      </c>
      <c r="R173" s="108">
        <v>15</v>
      </c>
      <c r="S173" s="108">
        <v>42.344999999999999</v>
      </c>
    </row>
    <row r="174" spans="1:24" x14ac:dyDescent="0.25">
      <c r="A174" s="382"/>
      <c r="B174" s="102">
        <v>41</v>
      </c>
      <c r="C174" s="103" t="s">
        <v>24</v>
      </c>
      <c r="D174" s="158">
        <v>8</v>
      </c>
      <c r="G174" s="101">
        <v>1267</v>
      </c>
      <c r="H174" s="101" t="s">
        <v>493</v>
      </c>
      <c r="J174" s="124" t="s">
        <v>494</v>
      </c>
      <c r="K174" s="102"/>
      <c r="L174" s="105"/>
      <c r="M174" s="108">
        <v>1.7390000000000001</v>
      </c>
      <c r="N174" s="108">
        <v>4.0830000000000002</v>
      </c>
      <c r="O174" s="248">
        <f t="shared" si="13"/>
        <v>98.912005279787508</v>
      </c>
      <c r="P174" s="108"/>
      <c r="Q174" s="238">
        <v>4.9450000000000003</v>
      </c>
      <c r="R174" s="108">
        <v>15</v>
      </c>
      <c r="S174" s="108">
        <v>43.122999999999998</v>
      </c>
    </row>
    <row r="175" spans="1:24" x14ac:dyDescent="0.25">
      <c r="A175" s="382"/>
      <c r="B175" s="102">
        <v>41</v>
      </c>
      <c r="C175" s="103" t="s">
        <v>24</v>
      </c>
      <c r="D175" s="158">
        <v>9</v>
      </c>
      <c r="G175" s="101">
        <v>1271</v>
      </c>
      <c r="H175" s="101" t="s">
        <v>484</v>
      </c>
      <c r="J175" s="124" t="s">
        <v>495</v>
      </c>
      <c r="K175" s="102"/>
      <c r="L175" s="105"/>
      <c r="M175" s="108">
        <v>1.696</v>
      </c>
      <c r="N175" s="108">
        <v>4.0030000000000001</v>
      </c>
      <c r="O175" s="248">
        <f t="shared" si="13"/>
        <v>98.209301445940895</v>
      </c>
      <c r="P175" s="108"/>
      <c r="Q175" s="238">
        <v>4.819</v>
      </c>
      <c r="R175" s="108">
        <v>15</v>
      </c>
      <c r="S175" s="108">
        <v>43.398000000000003</v>
      </c>
    </row>
    <row r="176" spans="1:24" x14ac:dyDescent="0.25">
      <c r="A176" s="382"/>
      <c r="B176" s="102">
        <v>41</v>
      </c>
      <c r="C176" s="103" t="s">
        <v>24</v>
      </c>
      <c r="D176" s="158">
        <v>10</v>
      </c>
      <c r="G176" s="101">
        <v>1273</v>
      </c>
      <c r="H176" s="101" t="s">
        <v>486</v>
      </c>
      <c r="J176" s="124" t="s">
        <v>496</v>
      </c>
      <c r="K176" s="102"/>
      <c r="L176" s="105"/>
      <c r="M176" s="108">
        <v>1.792</v>
      </c>
      <c r="N176" s="108">
        <v>4.0149999999999997</v>
      </c>
      <c r="O176" s="248">
        <f t="shared" si="13"/>
        <v>95.007999134280169</v>
      </c>
      <c r="P176" s="108"/>
      <c r="Q176" s="238">
        <v>4.851</v>
      </c>
      <c r="R176" s="108">
        <v>15</v>
      </c>
      <c r="S176" s="108">
        <v>42.738999999999997</v>
      </c>
    </row>
    <row r="177" spans="1:19" x14ac:dyDescent="0.25">
      <c r="A177" s="382"/>
      <c r="B177" s="102">
        <v>41</v>
      </c>
      <c r="C177" s="103" t="s">
        <v>24</v>
      </c>
      <c r="D177" s="158">
        <v>11</v>
      </c>
      <c r="G177" s="101">
        <v>1274</v>
      </c>
      <c r="H177" s="101" t="s">
        <v>488</v>
      </c>
      <c r="J177" s="124" t="s">
        <v>497</v>
      </c>
      <c r="K177" s="102"/>
      <c r="L177" s="105"/>
      <c r="M177" s="108">
        <v>2.5339999999999998</v>
      </c>
      <c r="N177" s="108">
        <v>4.9379999999999997</v>
      </c>
      <c r="O177" s="248">
        <f t="shared" si="13"/>
        <v>85.446047951693842</v>
      </c>
      <c r="P177" s="108"/>
      <c r="Q177" s="238">
        <v>5.44</v>
      </c>
      <c r="R177" s="108">
        <v>15</v>
      </c>
      <c r="S177" s="108">
        <v>37.686999999999998</v>
      </c>
    </row>
    <row r="178" spans="1:19" s="146" customFormat="1" x14ac:dyDescent="0.25">
      <c r="A178" s="383"/>
      <c r="B178" s="110">
        <v>41</v>
      </c>
      <c r="C178" s="119" t="s">
        <v>24</v>
      </c>
      <c r="D178" s="163">
        <v>12</v>
      </c>
      <c r="E178" s="140"/>
      <c r="F178" s="141"/>
      <c r="G178" s="109">
        <v>1275</v>
      </c>
      <c r="H178" s="109" t="s">
        <v>490</v>
      </c>
      <c r="I178" s="110"/>
      <c r="J178" s="229" t="s">
        <v>498</v>
      </c>
      <c r="K178" s="110"/>
      <c r="L178" s="120"/>
      <c r="M178" s="123">
        <v>1.611</v>
      </c>
      <c r="N178" s="123">
        <v>3.8279999999999998</v>
      </c>
      <c r="O178" s="249">
        <f t="shared" si="13"/>
        <v>96.020978562212449</v>
      </c>
      <c r="P178" s="123"/>
      <c r="Q178" s="246">
        <v>4.6310000000000002</v>
      </c>
      <c r="R178" s="123">
        <v>15</v>
      </c>
      <c r="S178" s="123">
        <v>44.905999999999999</v>
      </c>
    </row>
    <row r="179" spans="1:19" s="155" customFormat="1" x14ac:dyDescent="0.25">
      <c r="A179" s="382" t="s">
        <v>428</v>
      </c>
      <c r="B179" s="125">
        <v>42</v>
      </c>
      <c r="C179" s="124" t="s">
        <v>45</v>
      </c>
      <c r="D179" s="125">
        <v>1</v>
      </c>
      <c r="E179" s="149"/>
      <c r="F179" s="150"/>
      <c r="G179" s="126">
        <v>1206</v>
      </c>
      <c r="H179" s="126" t="s">
        <v>436</v>
      </c>
      <c r="I179" s="125"/>
      <c r="J179" s="124" t="s">
        <v>499</v>
      </c>
      <c r="K179" s="153"/>
      <c r="L179" s="154"/>
      <c r="M179" s="130">
        <v>1.097</v>
      </c>
      <c r="N179" s="130">
        <v>2.4849999999999999</v>
      </c>
      <c r="O179" s="130">
        <f>20/Q179</f>
        <v>7.5075075075075075</v>
      </c>
      <c r="P179" s="130"/>
      <c r="Q179" s="130">
        <v>2.6640000000000001</v>
      </c>
      <c r="R179" s="130">
        <v>15</v>
      </c>
      <c r="S179" s="130">
        <v>49.1</v>
      </c>
    </row>
    <row r="180" spans="1:19" x14ac:dyDescent="0.25">
      <c r="A180" s="382"/>
      <c r="B180" s="102">
        <v>42</v>
      </c>
      <c r="C180" s="103" t="s">
        <v>45</v>
      </c>
      <c r="D180" s="102">
        <v>2</v>
      </c>
      <c r="G180" s="101">
        <v>1206</v>
      </c>
      <c r="H180" s="101" t="s">
        <v>436</v>
      </c>
      <c r="J180" s="124" t="s">
        <v>500</v>
      </c>
      <c r="M180" s="108">
        <v>2.702</v>
      </c>
      <c r="N180" s="108">
        <v>5.6840000000000002</v>
      </c>
      <c r="O180" s="108">
        <f>20/Q180</f>
        <v>3.466805338880222</v>
      </c>
      <c r="P180" s="108"/>
      <c r="Q180" s="108">
        <v>5.7690000000000001</v>
      </c>
      <c r="R180" s="108">
        <v>15</v>
      </c>
      <c r="S180" s="108">
        <v>48.5</v>
      </c>
    </row>
    <row r="181" spans="1:19" x14ac:dyDescent="0.25">
      <c r="A181" s="382"/>
      <c r="B181" s="102">
        <v>42</v>
      </c>
      <c r="C181" s="103" t="s">
        <v>45</v>
      </c>
      <c r="D181" s="102">
        <v>3</v>
      </c>
      <c r="G181" s="101">
        <v>1206</v>
      </c>
      <c r="H181" s="101" t="s">
        <v>436</v>
      </c>
      <c r="J181" s="103" t="s">
        <v>501</v>
      </c>
      <c r="K181" s="102"/>
      <c r="L181" s="105"/>
      <c r="M181" s="108">
        <v>2.258</v>
      </c>
      <c r="N181" s="108"/>
      <c r="O181" s="108"/>
      <c r="P181" s="108"/>
      <c r="Q181" s="108">
        <v>5.0229999999999997</v>
      </c>
      <c r="R181" s="108">
        <v>10</v>
      </c>
      <c r="S181" s="108">
        <v>45</v>
      </c>
    </row>
    <row r="182" spans="1:19" x14ac:dyDescent="0.25">
      <c r="A182" s="382"/>
      <c r="B182" s="102">
        <v>42</v>
      </c>
      <c r="C182" s="103" t="s">
        <v>45</v>
      </c>
      <c r="D182" s="102">
        <v>4</v>
      </c>
      <c r="G182" s="101">
        <v>1206</v>
      </c>
      <c r="H182" s="101" t="s">
        <v>436</v>
      </c>
      <c r="J182" s="103" t="s">
        <v>502</v>
      </c>
      <c r="K182" s="102"/>
      <c r="L182" s="105"/>
      <c r="M182" s="108">
        <v>2.3079999999999998</v>
      </c>
      <c r="N182" s="108"/>
      <c r="O182" s="108"/>
      <c r="P182" s="108"/>
      <c r="Q182" s="108">
        <v>3.5019999999999998</v>
      </c>
      <c r="R182" s="108">
        <v>15</v>
      </c>
      <c r="S182" s="108">
        <v>45</v>
      </c>
    </row>
    <row r="183" spans="1:19" s="146" customFormat="1" x14ac:dyDescent="0.25">
      <c r="A183" s="383"/>
      <c r="B183" s="110">
        <v>42</v>
      </c>
      <c r="C183" s="119" t="s">
        <v>45</v>
      </c>
      <c r="D183" s="110">
        <v>5</v>
      </c>
      <c r="E183" s="140"/>
      <c r="F183" s="141"/>
      <c r="G183" s="109">
        <v>1206</v>
      </c>
      <c r="H183" s="109" t="s">
        <v>436</v>
      </c>
      <c r="I183" s="110"/>
      <c r="J183" s="119" t="s">
        <v>503</v>
      </c>
      <c r="K183" s="110"/>
      <c r="L183" s="120"/>
      <c r="M183" s="123">
        <v>2.4510000000000001</v>
      </c>
      <c r="N183" s="123"/>
      <c r="O183" s="123"/>
      <c r="P183" s="123"/>
      <c r="Q183" s="123">
        <v>3.899</v>
      </c>
      <c r="R183" s="123">
        <v>15</v>
      </c>
      <c r="S183" s="123">
        <v>45</v>
      </c>
    </row>
    <row r="184" spans="1:19" s="155" customFormat="1" x14ac:dyDescent="0.25">
      <c r="A184" s="381" t="s">
        <v>428</v>
      </c>
      <c r="B184" s="125">
        <v>44</v>
      </c>
      <c r="C184" s="124" t="s">
        <v>24</v>
      </c>
      <c r="D184" s="125">
        <v>1</v>
      </c>
      <c r="E184" s="149"/>
      <c r="F184" s="150"/>
      <c r="G184" s="126">
        <v>1206</v>
      </c>
      <c r="H184" s="126" t="s">
        <v>436</v>
      </c>
      <c r="I184" s="125"/>
      <c r="J184" s="124" t="s">
        <v>504</v>
      </c>
      <c r="K184" s="153"/>
      <c r="L184" s="154"/>
      <c r="M184" s="130">
        <v>1.0489999999999999</v>
      </c>
      <c r="Q184" s="156"/>
    </row>
    <row r="185" spans="1:19" s="155" customFormat="1" x14ac:dyDescent="0.25">
      <c r="A185" s="382"/>
      <c r="B185" s="125">
        <v>44</v>
      </c>
      <c r="C185" s="124" t="s">
        <v>24</v>
      </c>
      <c r="D185" s="125">
        <v>2</v>
      </c>
      <c r="E185" s="149"/>
      <c r="F185" s="150"/>
      <c r="G185" s="126">
        <v>1206</v>
      </c>
      <c r="H185" s="126" t="s">
        <v>436</v>
      </c>
      <c r="I185" s="125"/>
      <c r="J185" s="124" t="s">
        <v>505</v>
      </c>
      <c r="K185" s="153"/>
      <c r="L185" s="154"/>
      <c r="M185" s="130">
        <v>1.5289999999999999</v>
      </c>
      <c r="Q185" s="156"/>
    </row>
    <row r="186" spans="1:19" s="155" customFormat="1" x14ac:dyDescent="0.25">
      <c r="A186" s="382"/>
      <c r="B186" s="125">
        <v>44</v>
      </c>
      <c r="C186" s="124" t="s">
        <v>24</v>
      </c>
      <c r="D186" s="125">
        <v>3</v>
      </c>
      <c r="E186" s="149"/>
      <c r="F186" s="150"/>
      <c r="G186" s="126">
        <v>1206</v>
      </c>
      <c r="H186" s="126" t="s">
        <v>436</v>
      </c>
      <c r="I186" s="125"/>
      <c r="J186" s="124" t="s">
        <v>506</v>
      </c>
      <c r="K186" s="153"/>
      <c r="L186" s="154"/>
      <c r="M186" s="130">
        <v>1.581</v>
      </c>
      <c r="Q186" s="156"/>
    </row>
    <row r="187" spans="1:19" s="146" customFormat="1" x14ac:dyDescent="0.25">
      <c r="A187" s="383"/>
      <c r="B187" s="110">
        <v>44</v>
      </c>
      <c r="C187" s="119" t="s">
        <v>24</v>
      </c>
      <c r="D187" s="110">
        <v>4</v>
      </c>
      <c r="E187" s="140"/>
      <c r="F187" s="141"/>
      <c r="G187" s="109">
        <v>1206</v>
      </c>
      <c r="H187" s="109" t="s">
        <v>436</v>
      </c>
      <c r="I187" s="110"/>
      <c r="J187" s="119" t="s">
        <v>507</v>
      </c>
      <c r="K187" s="166"/>
      <c r="L187" s="143"/>
      <c r="M187" s="123">
        <v>1.554</v>
      </c>
      <c r="Q187" s="167"/>
    </row>
    <row r="188" spans="1:19" s="155" customFormat="1" x14ac:dyDescent="0.25">
      <c r="A188" s="381" t="s">
        <v>428</v>
      </c>
      <c r="B188" s="125">
        <v>43</v>
      </c>
      <c r="C188" s="124" t="s">
        <v>45</v>
      </c>
      <c r="D188" s="125">
        <v>1</v>
      </c>
      <c r="E188" s="149"/>
      <c r="F188" s="150"/>
      <c r="G188" s="126">
        <v>1206</v>
      </c>
      <c r="H188" s="126" t="s">
        <v>436</v>
      </c>
      <c r="I188" s="125"/>
      <c r="J188" s="124" t="s">
        <v>508</v>
      </c>
      <c r="K188" s="153"/>
      <c r="L188" s="154"/>
      <c r="M188" s="130">
        <v>0.435</v>
      </c>
      <c r="Q188" s="130">
        <v>0.372</v>
      </c>
    </row>
    <row r="189" spans="1:19" ht="18" customHeight="1" x14ac:dyDescent="0.25">
      <c r="A189" s="382"/>
      <c r="B189" s="102">
        <v>43</v>
      </c>
      <c r="C189" s="103" t="s">
        <v>45</v>
      </c>
      <c r="D189" s="102">
        <v>2</v>
      </c>
      <c r="G189" s="101">
        <v>1206</v>
      </c>
      <c r="H189" s="101" t="s">
        <v>436</v>
      </c>
      <c r="J189" s="103" t="s">
        <v>509</v>
      </c>
      <c r="M189" s="108">
        <v>0.222</v>
      </c>
      <c r="Q189" s="108">
        <v>0.16800000000000001</v>
      </c>
    </row>
    <row r="190" spans="1:19" ht="18" customHeight="1" x14ac:dyDescent="0.25">
      <c r="A190" s="382"/>
      <c r="B190" s="102">
        <v>43</v>
      </c>
      <c r="C190" s="103" t="s">
        <v>45</v>
      </c>
      <c r="D190" s="102">
        <v>3</v>
      </c>
      <c r="G190" s="101">
        <v>1206</v>
      </c>
      <c r="H190" s="101" t="s">
        <v>436</v>
      </c>
      <c r="J190" s="103" t="s">
        <v>510</v>
      </c>
      <c r="M190" s="108">
        <v>0.26100000000000001</v>
      </c>
      <c r="Q190" s="108">
        <v>0.16900000000000001</v>
      </c>
    </row>
    <row r="191" spans="1:19" ht="18" customHeight="1" x14ac:dyDescent="0.25">
      <c r="A191" s="382"/>
      <c r="B191" s="102">
        <v>43</v>
      </c>
      <c r="C191" s="103" t="s">
        <v>45</v>
      </c>
      <c r="D191" s="102">
        <v>4</v>
      </c>
      <c r="G191" s="101">
        <v>1206</v>
      </c>
      <c r="H191" s="101" t="s">
        <v>436</v>
      </c>
      <c r="J191" s="103" t="s">
        <v>511</v>
      </c>
      <c r="M191" s="108">
        <v>0.40300000000000002</v>
      </c>
      <c r="Q191" s="108">
        <v>0.30099999999999999</v>
      </c>
    </row>
    <row r="192" spans="1:19" ht="18" customHeight="1" x14ac:dyDescent="0.25">
      <c r="A192" s="382"/>
      <c r="B192" s="102">
        <v>43</v>
      </c>
      <c r="C192" s="103" t="s">
        <v>45</v>
      </c>
      <c r="D192" s="102">
        <v>5</v>
      </c>
      <c r="G192" s="101">
        <v>1206</v>
      </c>
      <c r="H192" s="101" t="s">
        <v>436</v>
      </c>
      <c r="J192" s="103" t="s">
        <v>512</v>
      </c>
      <c r="M192" s="108">
        <v>0.36099999999999999</v>
      </c>
      <c r="Q192" s="108">
        <v>0.35699999999999998</v>
      </c>
    </row>
    <row r="193" spans="1:18" ht="18" customHeight="1" x14ac:dyDescent="0.25">
      <c r="A193" s="382"/>
      <c r="B193" s="102">
        <v>43</v>
      </c>
      <c r="C193" s="103" t="s">
        <v>45</v>
      </c>
      <c r="D193" s="102">
        <v>6</v>
      </c>
      <c r="G193" s="101">
        <v>1206</v>
      </c>
      <c r="H193" s="101" t="s">
        <v>436</v>
      </c>
      <c r="J193" s="103" t="s">
        <v>513</v>
      </c>
      <c r="M193" s="108">
        <v>0.42099999999999999</v>
      </c>
      <c r="Q193" s="108">
        <v>0.318</v>
      </c>
    </row>
    <row r="194" spans="1:18" ht="18" customHeight="1" x14ac:dyDescent="0.25">
      <c r="A194" s="382"/>
      <c r="B194" s="102">
        <v>43</v>
      </c>
      <c r="C194" s="103" t="s">
        <v>45</v>
      </c>
      <c r="D194" s="102">
        <v>7</v>
      </c>
      <c r="G194" s="101">
        <v>1206</v>
      </c>
      <c r="H194" s="101" t="s">
        <v>436</v>
      </c>
      <c r="J194" s="103" t="s">
        <v>514</v>
      </c>
      <c r="M194" s="108">
        <v>0.32700000000000001</v>
      </c>
      <c r="Q194" s="108">
        <v>0.58399999999999996</v>
      </c>
    </row>
    <row r="195" spans="1:18" ht="18" customHeight="1" x14ac:dyDescent="0.25">
      <c r="A195" s="382"/>
      <c r="B195" s="102">
        <v>43</v>
      </c>
      <c r="C195" s="103" t="s">
        <v>45</v>
      </c>
      <c r="D195" s="102">
        <v>8</v>
      </c>
      <c r="G195" s="101">
        <v>1206</v>
      </c>
      <c r="H195" s="101" t="s">
        <v>436</v>
      </c>
      <c r="J195" s="103" t="s">
        <v>515</v>
      </c>
      <c r="M195" s="108">
        <v>0.504</v>
      </c>
      <c r="Q195" s="108">
        <v>0.32900000000000001</v>
      </c>
    </row>
    <row r="196" spans="1:18" s="264" customFormat="1" ht="18" customHeight="1" x14ac:dyDescent="0.25">
      <c r="A196" s="393"/>
      <c r="B196" s="256">
        <v>43</v>
      </c>
      <c r="C196" s="257" t="s">
        <v>45</v>
      </c>
      <c r="D196" s="256">
        <v>9</v>
      </c>
      <c r="E196" s="258"/>
      <c r="F196" s="259"/>
      <c r="G196" s="260">
        <v>1206</v>
      </c>
      <c r="H196" s="260" t="s">
        <v>436</v>
      </c>
      <c r="I196" s="256"/>
      <c r="J196" s="257" t="s">
        <v>516</v>
      </c>
      <c r="K196" s="261"/>
      <c r="L196" s="262"/>
      <c r="M196" s="263">
        <v>0.39700000000000002</v>
      </c>
      <c r="Q196" s="263">
        <v>0.28299999999999997</v>
      </c>
    </row>
    <row r="197" spans="1:18" s="155" customFormat="1" x14ac:dyDescent="0.25">
      <c r="A197" s="394" t="s">
        <v>428</v>
      </c>
      <c r="B197" s="125">
        <v>43</v>
      </c>
      <c r="C197" s="124" t="s">
        <v>45</v>
      </c>
      <c r="D197" s="125">
        <v>1</v>
      </c>
      <c r="E197" s="149"/>
      <c r="F197" s="150"/>
      <c r="G197" s="126">
        <v>1206</v>
      </c>
      <c r="H197" s="126" t="s">
        <v>436</v>
      </c>
      <c r="I197" s="125"/>
      <c r="J197" s="124" t="s">
        <v>517</v>
      </c>
      <c r="K197" s="153"/>
      <c r="L197" s="154"/>
      <c r="M197" s="130">
        <v>1.089</v>
      </c>
      <c r="Q197" s="156">
        <v>2.3370000000000002</v>
      </c>
      <c r="R197" s="265"/>
    </row>
    <row r="198" spans="1:18" ht="18" customHeight="1" x14ac:dyDescent="0.25">
      <c r="A198" s="382"/>
      <c r="B198" s="102">
        <v>43</v>
      </c>
      <c r="C198" s="103" t="s">
        <v>45</v>
      </c>
      <c r="D198" s="102">
        <v>2</v>
      </c>
      <c r="G198" s="101">
        <v>1206</v>
      </c>
      <c r="H198" s="101" t="s">
        <v>436</v>
      </c>
      <c r="J198" s="103" t="s">
        <v>518</v>
      </c>
      <c r="M198" s="108">
        <v>0.38400000000000001</v>
      </c>
      <c r="Q198" s="161">
        <v>0.82799999999999996</v>
      </c>
      <c r="R198" s="266"/>
    </row>
    <row r="199" spans="1:18" ht="18" customHeight="1" x14ac:dyDescent="0.25">
      <c r="A199" s="382"/>
      <c r="B199" s="102">
        <v>43</v>
      </c>
      <c r="C199" s="103" t="s">
        <v>45</v>
      </c>
      <c r="D199" s="102">
        <v>3</v>
      </c>
      <c r="G199" s="101">
        <v>1206</v>
      </c>
      <c r="H199" s="101" t="s">
        <v>436</v>
      </c>
      <c r="J199" s="103" t="s">
        <v>519</v>
      </c>
      <c r="M199" s="108">
        <v>0.42199999999999999</v>
      </c>
      <c r="Q199" s="161">
        <v>1.028</v>
      </c>
      <c r="R199" s="266"/>
    </row>
    <row r="200" spans="1:18" ht="18" customHeight="1" x14ac:dyDescent="0.25">
      <c r="A200" s="382"/>
      <c r="B200" s="102">
        <v>43</v>
      </c>
      <c r="C200" s="103" t="s">
        <v>45</v>
      </c>
      <c r="D200" s="102">
        <v>4</v>
      </c>
      <c r="G200" s="101">
        <v>1206</v>
      </c>
      <c r="H200" s="101" t="s">
        <v>436</v>
      </c>
      <c r="J200" s="103" t="s">
        <v>520</v>
      </c>
      <c r="M200" s="108">
        <v>0.83399999999999996</v>
      </c>
      <c r="Q200" s="161">
        <v>2.1440000000000001</v>
      </c>
      <c r="R200" s="266"/>
    </row>
    <row r="201" spans="1:18" ht="18" customHeight="1" x14ac:dyDescent="0.25">
      <c r="A201" s="382"/>
      <c r="B201" s="102">
        <v>43</v>
      </c>
      <c r="C201" s="103" t="s">
        <v>45</v>
      </c>
      <c r="D201" s="102">
        <v>5</v>
      </c>
      <c r="G201" s="101">
        <v>1206</v>
      </c>
      <c r="H201" s="101" t="s">
        <v>436</v>
      </c>
      <c r="J201" s="103" t="s">
        <v>521</v>
      </c>
      <c r="M201" s="108">
        <v>1.022</v>
      </c>
      <c r="Q201" s="161">
        <v>2.2890000000000001</v>
      </c>
      <c r="R201" s="266"/>
    </row>
    <row r="202" spans="1:18" ht="18" customHeight="1" x14ac:dyDescent="0.25">
      <c r="A202" s="382"/>
      <c r="B202" s="102">
        <v>43</v>
      </c>
      <c r="C202" s="103" t="s">
        <v>45</v>
      </c>
      <c r="D202" s="102">
        <v>6</v>
      </c>
      <c r="G202" s="101">
        <v>1206</v>
      </c>
      <c r="H202" s="101" t="s">
        <v>436</v>
      </c>
      <c r="J202" s="103" t="s">
        <v>522</v>
      </c>
      <c r="M202" s="108">
        <v>1.655</v>
      </c>
      <c r="Q202" s="161">
        <v>2.5720000000000001</v>
      </c>
    </row>
    <row r="203" spans="1:18" s="264" customFormat="1" ht="18" customHeight="1" x14ac:dyDescent="0.25">
      <c r="A203" s="393"/>
      <c r="B203" s="256">
        <v>43</v>
      </c>
      <c r="C203" s="257" t="s">
        <v>45</v>
      </c>
      <c r="D203" s="256">
        <v>7</v>
      </c>
      <c r="E203" s="258"/>
      <c r="F203" s="259"/>
      <c r="G203" s="260">
        <v>1206</v>
      </c>
      <c r="H203" s="260" t="s">
        <v>436</v>
      </c>
      <c r="I203" s="256"/>
      <c r="J203" s="257" t="s">
        <v>523</v>
      </c>
      <c r="K203" s="261"/>
      <c r="L203" s="262"/>
      <c r="M203" s="263">
        <v>1.0409999999999999</v>
      </c>
      <c r="Q203" s="267">
        <v>2.3340000000000001</v>
      </c>
    </row>
    <row r="204" spans="1:18" s="155" customFormat="1" x14ac:dyDescent="0.25">
      <c r="A204" s="394" t="s">
        <v>428</v>
      </c>
      <c r="B204" s="125">
        <v>43</v>
      </c>
      <c r="C204" s="124" t="s">
        <v>45</v>
      </c>
      <c r="D204" s="125">
        <v>1</v>
      </c>
      <c r="E204" s="149"/>
      <c r="F204" s="150"/>
      <c r="G204" s="126">
        <v>1206</v>
      </c>
      <c r="H204" s="126" t="s">
        <v>436</v>
      </c>
      <c r="I204" s="125"/>
      <c r="J204" s="124" t="s">
        <v>524</v>
      </c>
      <c r="K204" s="153"/>
      <c r="L204" s="154"/>
      <c r="M204" s="130">
        <v>1.365</v>
      </c>
      <c r="Q204" s="156"/>
    </row>
    <row r="205" spans="1:18" x14ac:dyDescent="0.25">
      <c r="A205" s="382"/>
      <c r="B205" s="102">
        <v>43</v>
      </c>
      <c r="C205" s="103" t="s">
        <v>45</v>
      </c>
      <c r="D205" s="102">
        <v>2</v>
      </c>
      <c r="G205" s="101">
        <v>1206</v>
      </c>
      <c r="H205" s="101" t="s">
        <v>436</v>
      </c>
      <c r="J205" s="103" t="s">
        <v>525</v>
      </c>
      <c r="M205" s="108">
        <v>0.42599999999999999</v>
      </c>
    </row>
    <row r="206" spans="1:18" x14ac:dyDescent="0.25">
      <c r="A206" s="382"/>
      <c r="B206" s="102">
        <v>43</v>
      </c>
      <c r="C206" s="103" t="s">
        <v>45</v>
      </c>
      <c r="D206" s="102">
        <v>3</v>
      </c>
      <c r="G206" s="101">
        <v>1206</v>
      </c>
      <c r="H206" s="101" t="s">
        <v>436</v>
      </c>
      <c r="J206" s="103" t="s">
        <v>526</v>
      </c>
      <c r="M206" s="108">
        <v>0.69299999999999995</v>
      </c>
    </row>
    <row r="207" spans="1:18" x14ac:dyDescent="0.25">
      <c r="A207" s="382"/>
      <c r="B207" s="102">
        <v>43</v>
      </c>
      <c r="C207" s="103" t="s">
        <v>45</v>
      </c>
      <c r="D207" s="102">
        <v>4</v>
      </c>
      <c r="G207" s="101">
        <v>1206</v>
      </c>
      <c r="H207" s="101" t="s">
        <v>436</v>
      </c>
      <c r="J207" s="103" t="s">
        <v>527</v>
      </c>
      <c r="M207" s="108">
        <v>1.0569999999999999</v>
      </c>
    </row>
    <row r="208" spans="1:18" x14ac:dyDescent="0.25">
      <c r="A208" s="382"/>
      <c r="B208" s="102">
        <v>43</v>
      </c>
      <c r="C208" s="103" t="s">
        <v>45</v>
      </c>
      <c r="D208" s="102">
        <v>5</v>
      </c>
      <c r="G208" s="101">
        <v>1206</v>
      </c>
      <c r="H208" s="101" t="s">
        <v>436</v>
      </c>
      <c r="J208" s="103" t="s">
        <v>528</v>
      </c>
      <c r="M208" s="108">
        <v>1.302</v>
      </c>
    </row>
    <row r="209" spans="1:18" x14ac:dyDescent="0.25">
      <c r="A209" s="382"/>
      <c r="B209" s="102">
        <v>43</v>
      </c>
      <c r="C209" s="103" t="s">
        <v>45</v>
      </c>
      <c r="D209" s="102">
        <v>6</v>
      </c>
      <c r="G209" s="101">
        <v>1206</v>
      </c>
      <c r="H209" s="101" t="s">
        <v>436</v>
      </c>
      <c r="J209" s="103" t="s">
        <v>529</v>
      </c>
      <c r="M209" s="108">
        <v>2.105</v>
      </c>
    </row>
    <row r="210" spans="1:18" s="146" customFormat="1" x14ac:dyDescent="0.25">
      <c r="A210" s="383"/>
      <c r="B210" s="110">
        <v>43</v>
      </c>
      <c r="C210" s="119" t="s">
        <v>45</v>
      </c>
      <c r="D210" s="110">
        <v>7</v>
      </c>
      <c r="E210" s="140"/>
      <c r="F210" s="141"/>
      <c r="G210" s="109">
        <v>1206</v>
      </c>
      <c r="H210" s="109" t="s">
        <v>436</v>
      </c>
      <c r="I210" s="110"/>
      <c r="J210" s="119" t="s">
        <v>530</v>
      </c>
      <c r="K210" s="166"/>
      <c r="L210" s="143"/>
      <c r="M210" s="123">
        <v>1.3720000000000001</v>
      </c>
      <c r="Q210" s="167"/>
    </row>
    <row r="211" spans="1:18" s="155" customFormat="1" ht="18.75" customHeight="1" x14ac:dyDescent="0.25">
      <c r="A211" s="381" t="s">
        <v>428</v>
      </c>
      <c r="B211" s="125">
        <v>45</v>
      </c>
      <c r="C211" s="124" t="s">
        <v>24</v>
      </c>
      <c r="D211" s="125">
        <v>1</v>
      </c>
      <c r="E211" s="149"/>
      <c r="F211" s="150"/>
      <c r="G211" s="126">
        <v>1206</v>
      </c>
      <c r="H211" s="126" t="s">
        <v>436</v>
      </c>
      <c r="I211" s="152">
        <v>45722</v>
      </c>
      <c r="J211" s="124" t="s">
        <v>531</v>
      </c>
      <c r="K211" s="153"/>
      <c r="L211" s="154"/>
      <c r="M211" s="238">
        <v>1.585</v>
      </c>
      <c r="N211" s="238">
        <v>1.802</v>
      </c>
      <c r="Q211" s="156">
        <v>2.169</v>
      </c>
    </row>
    <row r="212" spans="1:18" ht="18.75" customHeight="1" x14ac:dyDescent="0.25">
      <c r="A212" s="382"/>
      <c r="B212" s="102">
        <v>45</v>
      </c>
      <c r="C212" s="103" t="s">
        <v>24</v>
      </c>
      <c r="D212" s="102">
        <v>2</v>
      </c>
      <c r="G212" s="101">
        <v>1208</v>
      </c>
      <c r="H212" s="101" t="s">
        <v>441</v>
      </c>
      <c r="I212" s="152">
        <v>45722</v>
      </c>
      <c r="J212" s="103" t="s">
        <v>532</v>
      </c>
      <c r="M212" s="238">
        <v>1.423</v>
      </c>
      <c r="N212" s="238">
        <v>1.76</v>
      </c>
      <c r="Q212" s="161">
        <v>2.1059999999999999</v>
      </c>
      <c r="R212" s="155"/>
    </row>
    <row r="213" spans="1:18" ht="18.75" customHeight="1" x14ac:dyDescent="0.25">
      <c r="A213" s="382"/>
      <c r="B213" s="102">
        <v>45</v>
      </c>
      <c r="C213" s="103" t="s">
        <v>24</v>
      </c>
      <c r="D213" s="102">
        <v>3</v>
      </c>
      <c r="G213" s="101">
        <v>1218</v>
      </c>
      <c r="H213" s="101" t="s">
        <v>434</v>
      </c>
      <c r="I213" s="152">
        <v>45722</v>
      </c>
      <c r="J213" s="103" t="s">
        <v>533</v>
      </c>
      <c r="M213" s="238">
        <v>1.593</v>
      </c>
      <c r="N213" s="238">
        <v>1.778</v>
      </c>
      <c r="Q213" s="161">
        <v>2.1230000000000002</v>
      </c>
      <c r="R213" s="155"/>
    </row>
    <row r="214" spans="1:18" ht="18.75" customHeight="1" x14ac:dyDescent="0.25">
      <c r="A214" s="382"/>
      <c r="B214" s="102">
        <v>45</v>
      </c>
      <c r="C214" s="103" t="s">
        <v>24</v>
      </c>
      <c r="D214" s="102">
        <v>4</v>
      </c>
      <c r="G214" s="101">
        <v>1222</v>
      </c>
      <c r="H214" s="101" t="s">
        <v>431</v>
      </c>
      <c r="I214" s="152">
        <v>45722</v>
      </c>
      <c r="J214" s="103" t="s">
        <v>534</v>
      </c>
      <c r="M214" s="238">
        <v>1.4970000000000001</v>
      </c>
      <c r="N214" s="238">
        <v>1.768</v>
      </c>
      <c r="Q214" s="161">
        <v>2.0640000000000001</v>
      </c>
      <c r="R214" s="155"/>
    </row>
    <row r="215" spans="1:18" ht="18.75" customHeight="1" x14ac:dyDescent="0.25">
      <c r="A215" s="382"/>
      <c r="B215" s="102">
        <v>45</v>
      </c>
      <c r="C215" s="103" t="s">
        <v>24</v>
      </c>
      <c r="D215" s="102">
        <v>5</v>
      </c>
      <c r="G215" s="101">
        <v>1206</v>
      </c>
      <c r="H215" s="101" t="s">
        <v>436</v>
      </c>
      <c r="I215" s="152">
        <v>45722</v>
      </c>
      <c r="J215" s="103" t="s">
        <v>535</v>
      </c>
      <c r="M215" s="238">
        <v>1.823</v>
      </c>
      <c r="N215" s="238">
        <v>1.7849999999999999</v>
      </c>
      <c r="Q215" s="161">
        <v>2.1779999999999999</v>
      </c>
      <c r="R215" s="155"/>
    </row>
    <row r="216" spans="1:18" ht="18.75" customHeight="1" x14ac:dyDescent="0.25">
      <c r="A216" s="382"/>
      <c r="B216" s="102">
        <v>45</v>
      </c>
      <c r="C216" s="103" t="s">
        <v>24</v>
      </c>
      <c r="D216" s="102">
        <v>6</v>
      </c>
      <c r="G216" s="101">
        <v>1208</v>
      </c>
      <c r="H216" s="101" t="s">
        <v>441</v>
      </c>
      <c r="I216" s="152">
        <v>45722</v>
      </c>
      <c r="J216" s="103" t="s">
        <v>536</v>
      </c>
      <c r="M216" s="238">
        <v>1.0429999999999999</v>
      </c>
      <c r="N216" s="238">
        <v>1.5189999999999999</v>
      </c>
      <c r="Q216" s="161">
        <v>1.8819999999999999</v>
      </c>
      <c r="R216" s="155"/>
    </row>
    <row r="217" spans="1:18" ht="18.75" customHeight="1" x14ac:dyDescent="0.25">
      <c r="A217" s="382"/>
      <c r="B217" s="102">
        <v>45</v>
      </c>
      <c r="C217" s="103" t="s">
        <v>24</v>
      </c>
      <c r="D217" s="102">
        <v>7</v>
      </c>
      <c r="G217" s="101">
        <v>1218</v>
      </c>
      <c r="H217" s="101" t="s">
        <v>434</v>
      </c>
      <c r="I217" s="152">
        <v>45722</v>
      </c>
      <c r="J217" s="103" t="s">
        <v>537</v>
      </c>
      <c r="M217" s="238">
        <v>1.56</v>
      </c>
      <c r="N217" s="238">
        <v>1.7869999999999999</v>
      </c>
      <c r="Q217" s="161">
        <v>2.089</v>
      </c>
      <c r="R217" s="155"/>
    </row>
    <row r="218" spans="1:18" ht="18.75" customHeight="1" x14ac:dyDescent="0.25">
      <c r="A218" s="382"/>
      <c r="B218" s="102">
        <v>45</v>
      </c>
      <c r="C218" s="103" t="s">
        <v>24</v>
      </c>
      <c r="D218" s="102">
        <v>8</v>
      </c>
      <c r="G218" s="101">
        <v>1222</v>
      </c>
      <c r="H218" s="101" t="s">
        <v>431</v>
      </c>
      <c r="I218" s="152">
        <v>45722</v>
      </c>
      <c r="J218" s="103" t="s">
        <v>538</v>
      </c>
      <c r="M218" s="238">
        <v>1.4790000000000001</v>
      </c>
      <c r="N218" s="238">
        <v>1.821</v>
      </c>
      <c r="Q218" s="161">
        <v>2.1150000000000002</v>
      </c>
      <c r="R218" s="155"/>
    </row>
    <row r="219" spans="1:18" ht="18.75" customHeight="1" x14ac:dyDescent="0.25">
      <c r="A219" s="382"/>
      <c r="B219" s="102">
        <v>45</v>
      </c>
      <c r="C219" s="103" t="s">
        <v>24</v>
      </c>
      <c r="D219" s="102">
        <v>9</v>
      </c>
      <c r="G219" s="101">
        <v>1206</v>
      </c>
      <c r="H219" s="101" t="s">
        <v>436</v>
      </c>
      <c r="I219" s="152">
        <v>45722</v>
      </c>
      <c r="J219" s="103" t="s">
        <v>539</v>
      </c>
      <c r="M219" s="238">
        <v>1.244</v>
      </c>
      <c r="N219" s="238">
        <v>1.8089999999999999</v>
      </c>
      <c r="Q219" s="161">
        <v>2.073</v>
      </c>
      <c r="R219" s="155"/>
    </row>
    <row r="220" spans="1:18" ht="18.75" customHeight="1" x14ac:dyDescent="0.25">
      <c r="A220" s="382"/>
      <c r="B220" s="102">
        <v>45</v>
      </c>
      <c r="C220" s="103" t="s">
        <v>24</v>
      </c>
      <c r="D220" s="102">
        <v>10</v>
      </c>
      <c r="G220" s="101">
        <v>1208</v>
      </c>
      <c r="H220" s="101" t="s">
        <v>441</v>
      </c>
      <c r="I220" s="152">
        <v>45722</v>
      </c>
      <c r="J220" s="103" t="s">
        <v>540</v>
      </c>
      <c r="M220" s="238">
        <v>1.006</v>
      </c>
      <c r="N220" s="238">
        <v>1.778</v>
      </c>
      <c r="Q220" s="161">
        <v>2.0190000000000001</v>
      </c>
      <c r="R220" s="155"/>
    </row>
    <row r="221" spans="1:18" ht="18.75" customHeight="1" x14ac:dyDescent="0.25">
      <c r="A221" s="382"/>
      <c r="B221" s="102">
        <v>45</v>
      </c>
      <c r="C221" s="103" t="s">
        <v>24</v>
      </c>
      <c r="D221" s="102">
        <v>11</v>
      </c>
      <c r="G221" s="101">
        <v>1218</v>
      </c>
      <c r="H221" s="101" t="s">
        <v>434</v>
      </c>
      <c r="I221" s="152">
        <v>45722</v>
      </c>
      <c r="J221" s="103" t="s">
        <v>541</v>
      </c>
      <c r="M221" s="238">
        <v>0.93500000000000005</v>
      </c>
      <c r="N221" s="238">
        <v>0.98899999999999999</v>
      </c>
      <c r="Q221" s="161">
        <v>0.90800000000000003</v>
      </c>
      <c r="R221" s="155"/>
    </row>
    <row r="222" spans="1:18" s="180" customFormat="1" ht="18.75" customHeight="1" thickBot="1" x14ac:dyDescent="0.3">
      <c r="A222" s="383"/>
      <c r="B222" s="112">
        <v>45</v>
      </c>
      <c r="C222" s="111" t="s">
        <v>24</v>
      </c>
      <c r="D222" s="112">
        <v>12</v>
      </c>
      <c r="E222" s="174"/>
      <c r="F222" s="176"/>
      <c r="G222" s="113">
        <v>1222</v>
      </c>
      <c r="H222" s="113" t="s">
        <v>431</v>
      </c>
      <c r="I222" s="250">
        <v>45722</v>
      </c>
      <c r="J222" s="111" t="s">
        <v>542</v>
      </c>
      <c r="K222" s="175"/>
      <c r="L222" s="179"/>
      <c r="M222" s="238">
        <v>1.226</v>
      </c>
      <c r="N222" s="238">
        <v>1.746</v>
      </c>
      <c r="Q222" s="268">
        <v>2.125</v>
      </c>
      <c r="R222" s="218"/>
    </row>
    <row r="223" spans="1:18" s="186" customFormat="1" ht="18.75" customHeight="1" x14ac:dyDescent="0.25">
      <c r="A223" s="381" t="s">
        <v>543</v>
      </c>
      <c r="B223" s="93">
        <v>46</v>
      </c>
      <c r="C223" s="94" t="s">
        <v>24</v>
      </c>
      <c r="D223" s="93">
        <v>1</v>
      </c>
      <c r="E223" s="181"/>
      <c r="F223" s="183"/>
      <c r="G223" s="183"/>
      <c r="H223" s="92" t="s">
        <v>544</v>
      </c>
      <c r="I223" s="93"/>
      <c r="J223" s="94" t="s">
        <v>545</v>
      </c>
      <c r="K223" s="182"/>
      <c r="L223" s="185"/>
      <c r="M223" s="269">
        <v>3.323</v>
      </c>
      <c r="Q223" s="270">
        <v>2.399</v>
      </c>
    </row>
    <row r="224" spans="1:18" ht="18.75" customHeight="1" x14ac:dyDescent="0.25">
      <c r="A224" s="382"/>
      <c r="B224" s="102">
        <v>46</v>
      </c>
      <c r="C224" s="103" t="s">
        <v>24</v>
      </c>
      <c r="D224" s="102">
        <v>2</v>
      </c>
      <c r="H224" s="101" t="s">
        <v>546</v>
      </c>
      <c r="J224" s="124" t="s">
        <v>547</v>
      </c>
      <c r="M224" s="238">
        <v>2.8490000000000002</v>
      </c>
      <c r="Q224" s="161">
        <v>2.0230000000000001</v>
      </c>
    </row>
    <row r="225" spans="1:17" ht="18.75" customHeight="1" x14ac:dyDescent="0.25">
      <c r="A225" s="382"/>
      <c r="B225" s="102">
        <v>46</v>
      </c>
      <c r="C225" s="103" t="s">
        <v>24</v>
      </c>
      <c r="D225" s="102">
        <v>3</v>
      </c>
      <c r="H225" s="101" t="s">
        <v>548</v>
      </c>
      <c r="J225" s="124" t="s">
        <v>549</v>
      </c>
      <c r="M225" s="238">
        <v>2.363</v>
      </c>
      <c r="Q225" s="161">
        <v>1.4670000000000001</v>
      </c>
    </row>
    <row r="226" spans="1:17" ht="18.75" customHeight="1" x14ac:dyDescent="0.25">
      <c r="A226" s="382"/>
      <c r="B226" s="102">
        <v>46</v>
      </c>
      <c r="C226" s="124" t="s">
        <v>24</v>
      </c>
      <c r="D226" s="102">
        <v>4</v>
      </c>
      <c r="H226" s="101" t="s">
        <v>550</v>
      </c>
      <c r="J226" s="124" t="s">
        <v>551</v>
      </c>
      <c r="M226" s="238">
        <v>2.4020000000000001</v>
      </c>
      <c r="Q226" s="161">
        <v>1.488</v>
      </c>
    </row>
    <row r="227" spans="1:17" ht="18.75" customHeight="1" x14ac:dyDescent="0.25">
      <c r="A227" s="382"/>
      <c r="B227" s="102">
        <v>46</v>
      </c>
      <c r="C227" s="124" t="s">
        <v>24</v>
      </c>
      <c r="D227" s="102">
        <v>5</v>
      </c>
      <c r="H227" s="101" t="s">
        <v>552</v>
      </c>
      <c r="J227" s="124" t="s">
        <v>553</v>
      </c>
      <c r="M227" s="238">
        <v>2.7010000000000001</v>
      </c>
      <c r="Q227" s="161">
        <v>0.96299999999999997</v>
      </c>
    </row>
    <row r="228" spans="1:17" ht="18.75" customHeight="1" x14ac:dyDescent="0.25">
      <c r="A228" s="382"/>
      <c r="B228" s="102">
        <v>46</v>
      </c>
      <c r="C228" s="124" t="s">
        <v>24</v>
      </c>
      <c r="D228" s="102">
        <v>6</v>
      </c>
      <c r="H228" s="101" t="s">
        <v>554</v>
      </c>
      <c r="J228" s="124" t="s">
        <v>555</v>
      </c>
      <c r="M228" s="238">
        <v>1.64</v>
      </c>
      <c r="Q228" s="161">
        <v>0.96199999999999997</v>
      </c>
    </row>
    <row r="229" spans="1:17" ht="18.75" customHeight="1" x14ac:dyDescent="0.25">
      <c r="A229" s="382"/>
      <c r="B229" s="102">
        <v>46</v>
      </c>
      <c r="C229" s="124" t="s">
        <v>24</v>
      </c>
      <c r="D229" s="102">
        <v>7</v>
      </c>
      <c r="H229" s="101" t="s">
        <v>556</v>
      </c>
      <c r="J229" s="124" t="s">
        <v>557</v>
      </c>
      <c r="M229" s="238">
        <v>3.1909999999999998</v>
      </c>
      <c r="Q229" s="161">
        <v>1.2290000000000001</v>
      </c>
    </row>
    <row r="230" spans="1:17" ht="18.75" customHeight="1" x14ac:dyDescent="0.25">
      <c r="A230" s="382"/>
      <c r="B230" s="102">
        <v>46</v>
      </c>
      <c r="C230" s="124" t="s">
        <v>24</v>
      </c>
      <c r="D230" s="125">
        <v>8</v>
      </c>
      <c r="H230" s="132" t="s">
        <v>558</v>
      </c>
      <c r="J230" s="124" t="s">
        <v>559</v>
      </c>
      <c r="M230" s="238">
        <v>2.9889999999999999</v>
      </c>
      <c r="Q230" s="161">
        <v>2.0609999999999999</v>
      </c>
    </row>
    <row r="231" spans="1:17" ht="18.75" customHeight="1" x14ac:dyDescent="0.25">
      <c r="A231" s="382"/>
      <c r="B231" s="102">
        <v>46</v>
      </c>
      <c r="C231" s="124" t="s">
        <v>24</v>
      </c>
      <c r="D231" s="102">
        <v>9</v>
      </c>
      <c r="H231" s="132" t="s">
        <v>560</v>
      </c>
      <c r="J231" s="124" t="s">
        <v>561</v>
      </c>
      <c r="M231" s="238">
        <v>2.2109999999999999</v>
      </c>
      <c r="Q231" s="161">
        <v>1.6439999999999999</v>
      </c>
    </row>
    <row r="232" spans="1:17" ht="18.75" customHeight="1" x14ac:dyDescent="0.25">
      <c r="A232" s="382"/>
      <c r="B232" s="102">
        <v>46</v>
      </c>
      <c r="C232" s="124" t="s">
        <v>24</v>
      </c>
      <c r="D232" s="102">
        <v>10</v>
      </c>
      <c r="H232" s="132" t="s">
        <v>562</v>
      </c>
      <c r="J232" s="124" t="s">
        <v>563</v>
      </c>
      <c r="M232" s="238">
        <v>3.6619999999999999</v>
      </c>
      <c r="Q232" s="161">
        <v>1.2090000000000001</v>
      </c>
    </row>
    <row r="233" spans="1:17" ht="18.75" customHeight="1" x14ac:dyDescent="0.25">
      <c r="A233" s="382"/>
      <c r="B233" s="102">
        <v>46</v>
      </c>
      <c r="C233" s="124" t="s">
        <v>24</v>
      </c>
      <c r="D233" s="102">
        <v>11</v>
      </c>
      <c r="H233" s="132" t="s">
        <v>564</v>
      </c>
      <c r="J233" s="124" t="s">
        <v>565</v>
      </c>
      <c r="M233" s="238">
        <v>2.2069999999999999</v>
      </c>
      <c r="Q233" s="161">
        <v>1.1359999999999999</v>
      </c>
    </row>
    <row r="234" spans="1:17" ht="18.75" customHeight="1" x14ac:dyDescent="0.25">
      <c r="A234" s="382"/>
      <c r="B234" s="102">
        <v>46</v>
      </c>
      <c r="C234" s="124" t="s">
        <v>24</v>
      </c>
      <c r="D234" s="102">
        <v>12</v>
      </c>
      <c r="H234" s="132" t="s">
        <v>566</v>
      </c>
      <c r="J234" s="124" t="s">
        <v>567</v>
      </c>
      <c r="M234" s="238">
        <v>2.4289999999999998</v>
      </c>
      <c r="Q234" s="161">
        <v>1.119</v>
      </c>
    </row>
    <row r="235" spans="1:17" ht="18.75" customHeight="1" x14ac:dyDescent="0.25">
      <c r="A235" s="382"/>
      <c r="B235" s="102">
        <v>46</v>
      </c>
      <c r="C235" s="124" t="s">
        <v>24</v>
      </c>
      <c r="D235" s="102">
        <v>13</v>
      </c>
      <c r="H235" s="132" t="s">
        <v>568</v>
      </c>
      <c r="J235" s="124" t="s">
        <v>569</v>
      </c>
      <c r="M235" s="238">
        <v>2.742</v>
      </c>
      <c r="Q235" s="161">
        <v>1.5680000000000001</v>
      </c>
    </row>
    <row r="236" spans="1:17" s="146" customFormat="1" ht="18.75" customHeight="1" x14ac:dyDescent="0.25">
      <c r="A236" s="383"/>
      <c r="B236" s="110">
        <v>46</v>
      </c>
      <c r="C236" s="229" t="s">
        <v>24</v>
      </c>
      <c r="D236" s="110">
        <v>14</v>
      </c>
      <c r="E236" s="140"/>
      <c r="F236" s="141"/>
      <c r="G236" s="141"/>
      <c r="H236" s="271" t="s">
        <v>570</v>
      </c>
      <c r="I236" s="110"/>
      <c r="J236" s="229" t="s">
        <v>571</v>
      </c>
      <c r="K236" s="166"/>
      <c r="L236" s="143"/>
      <c r="M236" s="246">
        <v>3.3340000000000001</v>
      </c>
      <c r="Q236" s="167">
        <v>1.585</v>
      </c>
    </row>
    <row r="237" spans="1:17" s="155" customFormat="1" ht="18.75" customHeight="1" x14ac:dyDescent="0.25">
      <c r="A237" s="381" t="s">
        <v>543</v>
      </c>
      <c r="B237" s="125">
        <v>47</v>
      </c>
      <c r="C237" s="124" t="s">
        <v>24</v>
      </c>
      <c r="D237" s="125">
        <v>1</v>
      </c>
      <c r="E237" s="149"/>
      <c r="F237" s="150"/>
      <c r="G237" s="150"/>
      <c r="H237" s="92" t="s">
        <v>556</v>
      </c>
      <c r="I237" s="125"/>
      <c r="J237" s="124" t="s">
        <v>572</v>
      </c>
      <c r="K237" s="153"/>
      <c r="L237" s="154"/>
      <c r="M237" s="130">
        <v>1.6379999999999999</v>
      </c>
      <c r="Q237" s="156">
        <v>2.181</v>
      </c>
    </row>
    <row r="238" spans="1:17" ht="18.75" customHeight="1" x14ac:dyDescent="0.25">
      <c r="A238" s="382"/>
      <c r="B238" s="112">
        <v>47</v>
      </c>
      <c r="C238" s="124" t="s">
        <v>24</v>
      </c>
      <c r="D238" s="102">
        <v>2</v>
      </c>
      <c r="H238" s="101" t="s">
        <v>556</v>
      </c>
      <c r="J238" s="124" t="s">
        <v>573</v>
      </c>
      <c r="M238" s="108">
        <v>1.7909999999999999</v>
      </c>
      <c r="Q238" s="161">
        <v>2.141</v>
      </c>
    </row>
    <row r="239" spans="1:17" ht="18.75" customHeight="1" x14ac:dyDescent="0.25">
      <c r="A239" s="382"/>
      <c r="B239" s="112">
        <v>47</v>
      </c>
      <c r="C239" s="124" t="s">
        <v>24</v>
      </c>
      <c r="D239" s="102">
        <v>3</v>
      </c>
      <c r="H239" s="132" t="s">
        <v>556</v>
      </c>
      <c r="J239" s="124" t="s">
        <v>574</v>
      </c>
      <c r="M239" s="108">
        <v>2.6459999999999999</v>
      </c>
      <c r="Q239" s="161">
        <v>2.25</v>
      </c>
    </row>
    <row r="240" spans="1:17" s="180" customFormat="1" ht="18.75" customHeight="1" x14ac:dyDescent="0.25">
      <c r="A240" s="383"/>
      <c r="B240" s="112">
        <v>47</v>
      </c>
      <c r="C240" s="209" t="s">
        <v>24</v>
      </c>
      <c r="D240" s="112">
        <v>4</v>
      </c>
      <c r="E240" s="174"/>
      <c r="F240" s="176"/>
      <c r="G240" s="176"/>
      <c r="H240" s="271" t="s">
        <v>556</v>
      </c>
      <c r="I240" s="112"/>
      <c r="J240" s="209" t="s">
        <v>575</v>
      </c>
      <c r="K240" s="175"/>
      <c r="L240" s="179"/>
      <c r="M240" s="123">
        <v>2.8170000000000002</v>
      </c>
      <c r="Q240" s="268">
        <v>2.3359999999999999</v>
      </c>
    </row>
    <row r="241" spans="1:19" s="186" customFormat="1" ht="18.75" customHeight="1" x14ac:dyDescent="0.25">
      <c r="A241" s="381" t="s">
        <v>543</v>
      </c>
      <c r="B241" s="93">
        <v>48</v>
      </c>
      <c r="C241" s="94" t="s">
        <v>24</v>
      </c>
      <c r="D241" s="93">
        <v>1</v>
      </c>
      <c r="E241" s="181"/>
      <c r="F241" s="183"/>
      <c r="G241" s="183"/>
      <c r="H241" s="92" t="s">
        <v>544</v>
      </c>
      <c r="I241" s="95">
        <v>45752</v>
      </c>
      <c r="J241" s="94" t="s">
        <v>576</v>
      </c>
      <c r="K241" s="182"/>
      <c r="L241" s="185"/>
      <c r="M241" s="238">
        <v>3.145</v>
      </c>
      <c r="Q241" s="270">
        <v>2.3559999999999999</v>
      </c>
      <c r="R241" s="186">
        <v>8</v>
      </c>
      <c r="S241" s="186">
        <v>20</v>
      </c>
    </row>
    <row r="242" spans="1:19" ht="18.75" customHeight="1" x14ac:dyDescent="0.25">
      <c r="A242" s="382"/>
      <c r="B242" s="112">
        <v>48</v>
      </c>
      <c r="C242" s="124" t="s">
        <v>24</v>
      </c>
      <c r="D242" s="102">
        <v>2</v>
      </c>
      <c r="H242" s="101" t="s">
        <v>556</v>
      </c>
      <c r="I242" s="104">
        <v>45752</v>
      </c>
      <c r="J242" s="124" t="s">
        <v>577</v>
      </c>
      <c r="M242" s="238">
        <v>3.181</v>
      </c>
      <c r="Q242" s="161">
        <v>2.3919999999999999</v>
      </c>
      <c r="R242" s="139">
        <v>8</v>
      </c>
      <c r="S242" s="139">
        <v>20</v>
      </c>
    </row>
    <row r="243" spans="1:19" ht="18.75" customHeight="1" x14ac:dyDescent="0.25">
      <c r="A243" s="382"/>
      <c r="B243" s="112">
        <v>48</v>
      </c>
      <c r="C243" s="124" t="s">
        <v>24</v>
      </c>
      <c r="D243" s="102">
        <v>3</v>
      </c>
      <c r="H243" s="132" t="s">
        <v>562</v>
      </c>
      <c r="I243" s="104">
        <v>45752</v>
      </c>
      <c r="J243" s="124" t="s">
        <v>578</v>
      </c>
      <c r="M243" s="238">
        <v>3.4380000000000002</v>
      </c>
      <c r="Q243" s="161">
        <v>2.4159999999999999</v>
      </c>
      <c r="R243" s="139">
        <v>8</v>
      </c>
      <c r="S243" s="139">
        <v>20</v>
      </c>
    </row>
    <row r="244" spans="1:19" s="180" customFormat="1" ht="18.75" customHeight="1" x14ac:dyDescent="0.25">
      <c r="A244" s="383"/>
      <c r="B244" s="112">
        <v>48</v>
      </c>
      <c r="C244" s="209" t="s">
        <v>24</v>
      </c>
      <c r="D244" s="112">
        <v>4</v>
      </c>
      <c r="E244" s="174"/>
      <c r="F244" s="176"/>
      <c r="G244" s="176"/>
      <c r="H244" s="271" t="s">
        <v>570</v>
      </c>
      <c r="I244" s="114">
        <v>45752</v>
      </c>
      <c r="J244" s="209" t="s">
        <v>579</v>
      </c>
      <c r="K244" s="175"/>
      <c r="L244" s="179"/>
      <c r="M244" s="246">
        <v>2.9569999999999999</v>
      </c>
      <c r="Q244" s="268">
        <v>2.403</v>
      </c>
      <c r="R244" s="180">
        <v>8</v>
      </c>
      <c r="S244" s="180">
        <v>20</v>
      </c>
    </row>
    <row r="245" spans="1:19" s="204" customFormat="1" ht="18.75" customHeight="1" x14ac:dyDescent="0.25">
      <c r="A245" s="381" t="s">
        <v>580</v>
      </c>
      <c r="B245" s="148">
        <v>49</v>
      </c>
      <c r="C245" s="195" t="s">
        <v>24</v>
      </c>
      <c r="D245" s="148">
        <v>1</v>
      </c>
      <c r="E245" s="195"/>
      <c r="F245" s="147"/>
      <c r="G245" s="147"/>
      <c r="H245" s="147" t="s">
        <v>581</v>
      </c>
      <c r="I245" s="272">
        <v>45762</v>
      </c>
      <c r="J245" s="195" t="s">
        <v>582</v>
      </c>
      <c r="K245" s="192"/>
      <c r="L245" s="196"/>
      <c r="M245" s="238">
        <v>1.1910000000000001</v>
      </c>
      <c r="N245" s="273">
        <v>1.577</v>
      </c>
      <c r="Q245" s="274">
        <v>1.64</v>
      </c>
    </row>
    <row r="246" spans="1:19" s="205" customFormat="1" ht="18.75" customHeight="1" x14ac:dyDescent="0.25">
      <c r="A246" s="382"/>
      <c r="B246" s="158">
        <v>49</v>
      </c>
      <c r="C246" s="209" t="s">
        <v>24</v>
      </c>
      <c r="D246" s="158">
        <v>2</v>
      </c>
      <c r="E246" s="209"/>
      <c r="F246" s="157"/>
      <c r="G246" s="157"/>
      <c r="H246" s="157" t="s">
        <v>583</v>
      </c>
      <c r="I246" s="250">
        <v>45762</v>
      </c>
      <c r="J246" s="209" t="s">
        <v>584</v>
      </c>
      <c r="K246" s="206"/>
      <c r="M246" s="275">
        <v>2.1269999999999998</v>
      </c>
      <c r="N246" s="209">
        <v>1.7270000000000001</v>
      </c>
      <c r="Q246" s="276">
        <v>1.855</v>
      </c>
    </row>
    <row r="247" spans="1:19" s="205" customFormat="1" ht="18.75" customHeight="1" x14ac:dyDescent="0.25">
      <c r="A247" s="382"/>
      <c r="B247" s="158">
        <v>49</v>
      </c>
      <c r="C247" s="209" t="s">
        <v>24</v>
      </c>
      <c r="D247" s="158">
        <v>3</v>
      </c>
      <c r="E247" s="209"/>
      <c r="F247" s="157"/>
      <c r="G247" s="157"/>
      <c r="H247" s="157" t="s">
        <v>585</v>
      </c>
      <c r="I247" s="250">
        <v>45762</v>
      </c>
      <c r="J247" s="209" t="s">
        <v>586</v>
      </c>
      <c r="K247" s="206"/>
      <c r="M247" s="275">
        <v>1.2050000000000001</v>
      </c>
      <c r="N247" s="209">
        <v>1.68</v>
      </c>
      <c r="Q247" s="276">
        <v>1.708</v>
      </c>
    </row>
    <row r="248" spans="1:19" s="155" customFormat="1" ht="18.75" customHeight="1" x14ac:dyDescent="0.25">
      <c r="A248" s="382"/>
      <c r="B248" s="125">
        <v>49</v>
      </c>
      <c r="C248" s="124" t="s">
        <v>24</v>
      </c>
      <c r="D248" s="125">
        <v>4</v>
      </c>
      <c r="E248" s="124"/>
      <c r="F248" s="126"/>
      <c r="G248" s="126"/>
      <c r="H248" s="126" t="s">
        <v>587</v>
      </c>
      <c r="I248" s="152">
        <v>45762</v>
      </c>
      <c r="J248" s="124" t="s">
        <v>588</v>
      </c>
      <c r="K248" s="153"/>
      <c r="L248" s="154"/>
      <c r="M248" s="275">
        <v>0.76100000000000001</v>
      </c>
      <c r="N248" s="130">
        <v>1.4690000000000001</v>
      </c>
      <c r="Q248" s="156">
        <v>1.508</v>
      </c>
    </row>
    <row r="249" spans="1:19" ht="18.75" customHeight="1" x14ac:dyDescent="0.25">
      <c r="A249" s="382"/>
      <c r="B249" s="102">
        <v>49</v>
      </c>
      <c r="C249" s="103" t="s">
        <v>24</v>
      </c>
      <c r="D249" s="102">
        <v>5</v>
      </c>
      <c r="E249" s="103"/>
      <c r="F249" s="101"/>
      <c r="G249" s="101"/>
      <c r="H249" s="101" t="s">
        <v>589</v>
      </c>
      <c r="I249" s="104">
        <v>45762</v>
      </c>
      <c r="J249" s="103" t="s">
        <v>590</v>
      </c>
      <c r="M249" s="238">
        <v>0.76900000000000002</v>
      </c>
      <c r="N249" s="108">
        <v>1.4970000000000001</v>
      </c>
      <c r="Q249" s="161">
        <v>1.835</v>
      </c>
    </row>
    <row r="250" spans="1:19" s="146" customFormat="1" ht="18.75" customHeight="1" x14ac:dyDescent="0.25">
      <c r="A250" s="383"/>
      <c r="B250" s="110">
        <v>49</v>
      </c>
      <c r="C250" s="119" t="s">
        <v>24</v>
      </c>
      <c r="D250" s="110">
        <v>6</v>
      </c>
      <c r="E250" s="119"/>
      <c r="F250" s="109"/>
      <c r="G250" s="109"/>
      <c r="H250" s="109" t="s">
        <v>591</v>
      </c>
      <c r="I250" s="165">
        <v>45762</v>
      </c>
      <c r="J250" s="119" t="s">
        <v>592</v>
      </c>
      <c r="K250" s="166"/>
      <c r="L250" s="143"/>
      <c r="M250" s="277">
        <v>1.88</v>
      </c>
      <c r="N250" s="123">
        <v>1.7070000000000001</v>
      </c>
      <c r="Q250" s="167">
        <v>1.8440000000000001</v>
      </c>
    </row>
    <row r="251" spans="1:19" s="155" customFormat="1" ht="18.75" customHeight="1" x14ac:dyDescent="0.25">
      <c r="A251" s="381" t="s">
        <v>428</v>
      </c>
      <c r="B251" s="125">
        <v>50</v>
      </c>
      <c r="C251" s="124" t="s">
        <v>45</v>
      </c>
      <c r="D251" s="125">
        <v>1</v>
      </c>
      <c r="E251" s="124"/>
      <c r="F251" s="126"/>
      <c r="G251" s="126"/>
      <c r="H251" s="126" t="s">
        <v>436</v>
      </c>
      <c r="I251" s="272">
        <v>45764</v>
      </c>
      <c r="J251" s="124" t="s">
        <v>593</v>
      </c>
      <c r="K251" s="153"/>
      <c r="L251" s="154"/>
      <c r="M251" s="156">
        <v>0.79</v>
      </c>
      <c r="Q251" s="156">
        <v>2.4020000000000001</v>
      </c>
      <c r="R251" s="155">
        <f t="shared" ref="R251:R257" si="14">20/Q251</f>
        <v>8.3263946711074102</v>
      </c>
    </row>
    <row r="252" spans="1:19" ht="18.75" customHeight="1" x14ac:dyDescent="0.25">
      <c r="A252" s="382"/>
      <c r="B252" s="102">
        <v>50</v>
      </c>
      <c r="C252" s="103" t="s">
        <v>45</v>
      </c>
      <c r="D252" s="102">
        <v>2</v>
      </c>
      <c r="E252" s="103"/>
      <c r="F252" s="101"/>
      <c r="G252" s="101"/>
      <c r="H252" s="101" t="s">
        <v>436</v>
      </c>
      <c r="I252" s="250">
        <v>45764</v>
      </c>
      <c r="J252" s="103" t="s">
        <v>594</v>
      </c>
      <c r="M252" s="161">
        <v>1.077</v>
      </c>
      <c r="Q252" s="161">
        <v>2.3730000000000002</v>
      </c>
      <c r="R252" s="155">
        <f t="shared" si="14"/>
        <v>8.4281500210703744</v>
      </c>
    </row>
    <row r="253" spans="1:19" ht="18.75" customHeight="1" x14ac:dyDescent="0.25">
      <c r="A253" s="382"/>
      <c r="B253" s="102">
        <v>50</v>
      </c>
      <c r="C253" s="103" t="s">
        <v>45</v>
      </c>
      <c r="D253" s="102">
        <v>3</v>
      </c>
      <c r="E253" s="103"/>
      <c r="F253" s="101"/>
      <c r="G253" s="101"/>
      <c r="H253" s="101" t="s">
        <v>436</v>
      </c>
      <c r="I253" s="250">
        <v>45764</v>
      </c>
      <c r="J253" s="103" t="s">
        <v>595</v>
      </c>
      <c r="M253" s="161">
        <v>1.258</v>
      </c>
      <c r="Q253" s="161">
        <v>2.6560000000000001</v>
      </c>
      <c r="R253" s="155">
        <f t="shared" si="14"/>
        <v>7.5301204819277103</v>
      </c>
    </row>
    <row r="254" spans="1:19" ht="18.75" customHeight="1" x14ac:dyDescent="0.25">
      <c r="A254" s="382"/>
      <c r="B254" s="102">
        <v>50</v>
      </c>
      <c r="C254" s="103" t="s">
        <v>45</v>
      </c>
      <c r="D254" s="102">
        <v>4</v>
      </c>
      <c r="E254" s="103"/>
      <c r="F254" s="101"/>
      <c r="G254" s="101"/>
      <c r="H254" s="101" t="s">
        <v>436</v>
      </c>
      <c r="I254" s="152">
        <v>45764</v>
      </c>
      <c r="J254" s="103" t="s">
        <v>596</v>
      </c>
      <c r="M254" s="161">
        <v>1.0820000000000001</v>
      </c>
      <c r="Q254" s="161">
        <v>2.5920000000000001</v>
      </c>
      <c r="R254" s="155">
        <f t="shared" si="14"/>
        <v>7.716049382716049</v>
      </c>
    </row>
    <row r="255" spans="1:19" ht="18.75" customHeight="1" x14ac:dyDescent="0.25">
      <c r="A255" s="382"/>
      <c r="B255" s="102">
        <v>50</v>
      </c>
      <c r="C255" s="103" t="s">
        <v>45</v>
      </c>
      <c r="D255" s="102">
        <v>5</v>
      </c>
      <c r="E255" s="103"/>
      <c r="F255" s="101"/>
      <c r="G255" s="101"/>
      <c r="H255" s="101" t="s">
        <v>436</v>
      </c>
      <c r="I255" s="104">
        <v>45764</v>
      </c>
      <c r="J255" s="103" t="s">
        <v>597</v>
      </c>
      <c r="M255" s="161">
        <v>0.92400000000000004</v>
      </c>
      <c r="Q255" s="161">
        <v>1.494</v>
      </c>
      <c r="R255" s="155">
        <f t="shared" si="14"/>
        <v>13.386880856760374</v>
      </c>
    </row>
    <row r="256" spans="1:19" ht="18.75" customHeight="1" x14ac:dyDescent="0.25">
      <c r="A256" s="382"/>
      <c r="B256" s="102">
        <v>50</v>
      </c>
      <c r="C256" s="103" t="s">
        <v>45</v>
      </c>
      <c r="D256" s="102">
        <v>6</v>
      </c>
      <c r="E256" s="103"/>
      <c r="F256" s="101"/>
      <c r="G256" s="101"/>
      <c r="H256" s="101" t="s">
        <v>436</v>
      </c>
      <c r="I256" s="104">
        <v>45764</v>
      </c>
      <c r="J256" s="103" t="s">
        <v>598</v>
      </c>
      <c r="M256" s="161">
        <v>1.2090000000000001</v>
      </c>
      <c r="Q256" s="161">
        <v>2.5790000000000002</v>
      </c>
      <c r="R256" s="155">
        <f t="shared" si="14"/>
        <v>7.754943776657619</v>
      </c>
    </row>
    <row r="257" spans="1:18" s="146" customFormat="1" ht="18.75" customHeight="1" x14ac:dyDescent="0.25">
      <c r="A257" s="383"/>
      <c r="B257" s="110">
        <v>50</v>
      </c>
      <c r="C257" s="119" t="s">
        <v>45</v>
      </c>
      <c r="D257" s="110">
        <v>7</v>
      </c>
      <c r="E257" s="119"/>
      <c r="F257" s="109"/>
      <c r="G257" s="109"/>
      <c r="H257" s="109" t="s">
        <v>436</v>
      </c>
      <c r="I257" s="165">
        <v>45764</v>
      </c>
      <c r="J257" s="119" t="s">
        <v>599</v>
      </c>
      <c r="K257" s="166"/>
      <c r="L257" s="143"/>
      <c r="M257" s="167">
        <v>1.607</v>
      </c>
      <c r="Q257" s="167">
        <v>2.6890000000000001</v>
      </c>
      <c r="R257" s="130">
        <f t="shared" si="14"/>
        <v>7.4377091855708439</v>
      </c>
    </row>
    <row r="258" spans="1:18" s="186" customFormat="1" ht="18.75" customHeight="1" x14ac:dyDescent="0.25">
      <c r="A258" s="381" t="s">
        <v>543</v>
      </c>
      <c r="B258" s="93">
        <v>51</v>
      </c>
      <c r="C258" s="94" t="s">
        <v>24</v>
      </c>
      <c r="D258" s="93">
        <v>1</v>
      </c>
      <c r="E258" s="94"/>
      <c r="F258" s="92"/>
      <c r="G258" s="92"/>
      <c r="H258" s="92" t="s">
        <v>600</v>
      </c>
      <c r="I258" s="93"/>
      <c r="J258" s="278" t="s">
        <v>601</v>
      </c>
      <c r="K258" s="182"/>
      <c r="L258" s="185"/>
      <c r="M258" s="195">
        <v>3.85</v>
      </c>
      <c r="N258" s="195">
        <v>2.4300000000000002</v>
      </c>
      <c r="Q258" s="270">
        <v>2.4279999999999999</v>
      </c>
      <c r="R258" s="99"/>
    </row>
    <row r="259" spans="1:18" ht="18.75" customHeight="1" x14ac:dyDescent="0.25">
      <c r="A259" s="382"/>
      <c r="B259" s="102">
        <v>51</v>
      </c>
      <c r="C259" s="103" t="s">
        <v>24</v>
      </c>
      <c r="D259" s="102">
        <v>2</v>
      </c>
      <c r="E259" s="103"/>
      <c r="F259" s="101"/>
      <c r="G259" s="101"/>
      <c r="H259" s="101" t="s">
        <v>600</v>
      </c>
      <c r="J259" s="279" t="s">
        <v>602</v>
      </c>
      <c r="K259" s="280"/>
      <c r="M259" s="209">
        <v>2.9</v>
      </c>
      <c r="N259" s="209">
        <v>1.29</v>
      </c>
      <c r="Q259" s="161">
        <v>2.1560000000000001</v>
      </c>
      <c r="R259" s="281"/>
    </row>
    <row r="260" spans="1:18" ht="18.75" customHeight="1" x14ac:dyDescent="0.25">
      <c r="A260" s="382"/>
      <c r="B260" s="102">
        <v>51</v>
      </c>
      <c r="C260" s="103" t="s">
        <v>24</v>
      </c>
      <c r="D260" s="102">
        <v>3</v>
      </c>
      <c r="E260" s="103"/>
      <c r="F260" s="101"/>
      <c r="G260" s="101"/>
      <c r="H260" s="101" t="s">
        <v>544</v>
      </c>
      <c r="J260" s="282" t="s">
        <v>603</v>
      </c>
      <c r="K260" s="280"/>
      <c r="M260" s="209">
        <v>3.68</v>
      </c>
      <c r="N260" s="209">
        <v>1.17</v>
      </c>
      <c r="Q260" s="161">
        <v>2.2130000000000001</v>
      </c>
      <c r="R260" s="281"/>
    </row>
    <row r="261" spans="1:18" ht="18.75" customHeight="1" x14ac:dyDescent="0.25">
      <c r="A261" s="382"/>
      <c r="B261" s="102">
        <v>51</v>
      </c>
      <c r="C261" s="103" t="s">
        <v>24</v>
      </c>
      <c r="D261" s="102">
        <v>4</v>
      </c>
      <c r="E261" s="103"/>
      <c r="F261" s="101"/>
      <c r="G261" s="101"/>
      <c r="H261" s="101" t="s">
        <v>556</v>
      </c>
      <c r="J261" s="282" t="s">
        <v>604</v>
      </c>
      <c r="K261" s="280"/>
      <c r="M261" s="209">
        <v>3.79</v>
      </c>
      <c r="N261" s="209">
        <v>1.39</v>
      </c>
      <c r="Q261" s="161">
        <v>1.964</v>
      </c>
      <c r="R261" s="281"/>
    </row>
    <row r="262" spans="1:18" ht="18.75" customHeight="1" x14ac:dyDescent="0.25">
      <c r="A262" s="382"/>
      <c r="B262" s="102">
        <v>51</v>
      </c>
      <c r="C262" s="103" t="s">
        <v>24</v>
      </c>
      <c r="D262" s="102">
        <v>5</v>
      </c>
      <c r="E262" s="103"/>
      <c r="F262" s="101"/>
      <c r="G262" s="101"/>
      <c r="H262" s="101" t="s">
        <v>562</v>
      </c>
      <c r="J262" s="282" t="s">
        <v>605</v>
      </c>
      <c r="K262" s="280"/>
      <c r="M262" s="209">
        <v>3.18</v>
      </c>
      <c r="N262" s="209">
        <v>1.63</v>
      </c>
      <c r="Q262" s="161">
        <v>1.9970000000000001</v>
      </c>
      <c r="R262" s="281"/>
    </row>
    <row r="263" spans="1:18" s="146" customFormat="1" ht="18.75" customHeight="1" x14ac:dyDescent="0.25">
      <c r="A263" s="383"/>
      <c r="B263" s="110">
        <v>51</v>
      </c>
      <c r="C263" s="119" t="s">
        <v>24</v>
      </c>
      <c r="D263" s="110">
        <v>6</v>
      </c>
      <c r="E263" s="119"/>
      <c r="F263" s="109"/>
      <c r="G263" s="109"/>
      <c r="H263" s="109" t="s">
        <v>570</v>
      </c>
      <c r="I263" s="110"/>
      <c r="J263" s="283" t="s">
        <v>606</v>
      </c>
      <c r="K263" s="284"/>
      <c r="L263" s="143"/>
      <c r="M263" s="229">
        <v>3.37</v>
      </c>
      <c r="N263" s="229">
        <v>0.94</v>
      </c>
      <c r="Q263" s="167">
        <v>1.1719999999999999</v>
      </c>
      <c r="R263" s="285"/>
    </row>
    <row r="264" spans="1:18" s="186" customFormat="1" ht="18.75" customHeight="1" x14ac:dyDescent="0.25">
      <c r="A264" s="381" t="s">
        <v>580</v>
      </c>
      <c r="B264" s="93">
        <v>52</v>
      </c>
      <c r="C264" s="94" t="s">
        <v>45</v>
      </c>
      <c r="D264" s="93">
        <v>1</v>
      </c>
      <c r="E264" s="94"/>
      <c r="F264" s="92"/>
      <c r="G264" s="92"/>
      <c r="H264" s="92" t="s">
        <v>581</v>
      </c>
      <c r="I264" s="93"/>
      <c r="J264" s="94" t="s">
        <v>607</v>
      </c>
      <c r="K264" s="182"/>
      <c r="L264" s="185"/>
      <c r="M264" s="100">
        <v>1.1000000000000001</v>
      </c>
      <c r="Q264" s="270">
        <v>1.4730000000000001</v>
      </c>
      <c r="R264" s="99"/>
    </row>
    <row r="265" spans="1:18" x14ac:dyDescent="0.25">
      <c r="A265" s="382"/>
      <c r="B265" s="102">
        <v>52</v>
      </c>
      <c r="C265" s="103" t="s">
        <v>45</v>
      </c>
      <c r="D265" s="102">
        <v>2</v>
      </c>
      <c r="E265" s="103"/>
      <c r="F265" s="101"/>
      <c r="G265" s="101"/>
      <c r="H265" s="101" t="s">
        <v>583</v>
      </c>
      <c r="J265" s="103" t="s">
        <v>608</v>
      </c>
      <c r="M265" s="108">
        <v>1.694</v>
      </c>
      <c r="Q265" s="161">
        <v>1.4450000000000001</v>
      </c>
      <c r="R265" s="281"/>
    </row>
    <row r="266" spans="1:18" x14ac:dyDescent="0.25">
      <c r="A266" s="382"/>
      <c r="B266" s="102">
        <v>52</v>
      </c>
      <c r="C266" s="103" t="s">
        <v>45</v>
      </c>
      <c r="D266" s="102">
        <v>3</v>
      </c>
      <c r="E266" s="103"/>
      <c r="F266" s="101"/>
      <c r="G266" s="101"/>
      <c r="H266" s="101" t="s">
        <v>585</v>
      </c>
      <c r="J266" s="103" t="s">
        <v>609</v>
      </c>
      <c r="M266" s="108">
        <v>1.4079999999999999</v>
      </c>
      <c r="Q266" s="161">
        <v>1.5109999999999999</v>
      </c>
      <c r="R266" s="281"/>
    </row>
    <row r="267" spans="1:18" x14ac:dyDescent="0.25">
      <c r="A267" s="382"/>
      <c r="B267" s="102">
        <v>52</v>
      </c>
      <c r="C267" s="103" t="s">
        <v>45</v>
      </c>
      <c r="D267" s="102">
        <v>4</v>
      </c>
      <c r="E267" s="103"/>
      <c r="F267" s="101"/>
      <c r="G267" s="101"/>
      <c r="H267" s="101" t="s">
        <v>589</v>
      </c>
      <c r="J267" s="103" t="s">
        <v>610</v>
      </c>
      <c r="M267" s="108">
        <v>0.998</v>
      </c>
      <c r="Q267" s="161">
        <v>1.4179999999999999</v>
      </c>
      <c r="R267" s="281"/>
    </row>
    <row r="268" spans="1:18" s="180" customFormat="1" x14ac:dyDescent="0.25">
      <c r="A268" s="383"/>
      <c r="B268" s="112">
        <v>52</v>
      </c>
      <c r="C268" s="111" t="s">
        <v>45</v>
      </c>
      <c r="D268" s="112">
        <v>5</v>
      </c>
      <c r="E268" s="111"/>
      <c r="F268" s="113"/>
      <c r="G268" s="113"/>
      <c r="H268" s="113" t="s">
        <v>591</v>
      </c>
      <c r="I268" s="112"/>
      <c r="J268" s="111" t="s">
        <v>611</v>
      </c>
      <c r="K268" s="175"/>
      <c r="L268" s="179"/>
      <c r="M268" s="118">
        <v>1.972</v>
      </c>
      <c r="Q268" s="268">
        <v>1.5309999999999999</v>
      </c>
      <c r="R268" s="286"/>
    </row>
    <row r="269" spans="1:18" s="186" customFormat="1" x14ac:dyDescent="0.25">
      <c r="A269" s="381" t="s">
        <v>580</v>
      </c>
      <c r="B269" s="93">
        <v>54</v>
      </c>
      <c r="C269" s="94" t="s">
        <v>45</v>
      </c>
      <c r="D269" s="93">
        <v>2</v>
      </c>
      <c r="E269" s="94"/>
      <c r="F269" s="92"/>
      <c r="G269" s="92"/>
      <c r="H269" s="92" t="s">
        <v>583</v>
      </c>
      <c r="I269" s="95">
        <v>45835</v>
      </c>
      <c r="J269" s="94" t="s">
        <v>612</v>
      </c>
      <c r="K269" s="182"/>
      <c r="L269" s="185"/>
      <c r="Q269" s="270"/>
    </row>
    <row r="270" spans="1:18" s="180" customFormat="1" x14ac:dyDescent="0.25">
      <c r="A270" s="382"/>
      <c r="B270" s="112">
        <v>54</v>
      </c>
      <c r="C270" s="111" t="s">
        <v>45</v>
      </c>
      <c r="D270" s="112">
        <v>4</v>
      </c>
      <c r="E270" s="111"/>
      <c r="F270" s="113"/>
      <c r="G270" s="113"/>
      <c r="H270" s="113" t="s">
        <v>591</v>
      </c>
      <c r="I270" s="114">
        <v>45835</v>
      </c>
      <c r="J270" s="111" t="s">
        <v>613</v>
      </c>
      <c r="K270" s="175"/>
      <c r="L270" s="179"/>
      <c r="Q270" s="268"/>
    </row>
    <row r="271" spans="1:18" s="186" customFormat="1" x14ac:dyDescent="0.25">
      <c r="A271" s="381" t="s">
        <v>580</v>
      </c>
      <c r="B271" s="93">
        <v>55</v>
      </c>
      <c r="C271" s="94" t="s">
        <v>24</v>
      </c>
      <c r="D271" s="93">
        <v>1</v>
      </c>
      <c r="E271" s="94"/>
      <c r="F271" s="92"/>
      <c r="G271" s="92"/>
      <c r="H271" s="92" t="s">
        <v>581</v>
      </c>
      <c r="I271" s="95">
        <v>45848</v>
      </c>
      <c r="J271" s="94" t="s">
        <v>614</v>
      </c>
      <c r="K271" s="182"/>
      <c r="L271" s="185"/>
      <c r="Q271" s="270">
        <v>1.762</v>
      </c>
      <c r="R271" s="287">
        <f>20/Q271</f>
        <v>11.350737797956867</v>
      </c>
    </row>
    <row r="272" spans="1:18" x14ac:dyDescent="0.25">
      <c r="A272" s="382"/>
      <c r="B272" s="102">
        <v>55</v>
      </c>
      <c r="C272" s="103" t="s">
        <v>24</v>
      </c>
      <c r="D272" s="102">
        <v>2</v>
      </c>
      <c r="E272" s="103"/>
      <c r="F272" s="101"/>
      <c r="G272" s="101"/>
      <c r="H272" s="101" t="s">
        <v>583</v>
      </c>
      <c r="I272" s="104">
        <v>45848</v>
      </c>
      <c r="J272" s="103" t="s">
        <v>615</v>
      </c>
      <c r="Q272" s="161">
        <v>2.0070000000000001</v>
      </c>
      <c r="R272" s="287">
        <f t="shared" ref="R272:R282" si="15">20/Q272</f>
        <v>9.9651220727453911</v>
      </c>
    </row>
    <row r="273" spans="1:18" x14ac:dyDescent="0.25">
      <c r="A273" s="382"/>
      <c r="B273" s="102">
        <v>55</v>
      </c>
      <c r="C273" s="103" t="s">
        <v>24</v>
      </c>
      <c r="D273" s="102">
        <v>3</v>
      </c>
      <c r="E273" s="103"/>
      <c r="F273" s="101"/>
      <c r="G273" s="101"/>
      <c r="H273" s="101" t="s">
        <v>585</v>
      </c>
      <c r="I273" s="104">
        <v>45848</v>
      </c>
      <c r="J273" s="103" t="s">
        <v>616</v>
      </c>
      <c r="Q273" s="161">
        <v>1.97</v>
      </c>
      <c r="R273" s="287">
        <f t="shared" si="15"/>
        <v>10.152284263959391</v>
      </c>
    </row>
    <row r="274" spans="1:18" x14ac:dyDescent="0.25">
      <c r="A274" s="382"/>
      <c r="B274" s="102">
        <v>55</v>
      </c>
      <c r="C274" s="103" t="s">
        <v>24</v>
      </c>
      <c r="D274" s="102">
        <v>4</v>
      </c>
      <c r="E274" s="103"/>
      <c r="F274" s="101"/>
      <c r="G274" s="101"/>
      <c r="H274" s="101" t="s">
        <v>591</v>
      </c>
      <c r="I274" s="104">
        <v>45848</v>
      </c>
      <c r="J274" s="103" t="s">
        <v>617</v>
      </c>
      <c r="Q274" s="161">
        <v>2.032</v>
      </c>
      <c r="R274" s="287">
        <f t="shared" si="15"/>
        <v>9.8425196850393704</v>
      </c>
    </row>
    <row r="275" spans="1:18" x14ac:dyDescent="0.25">
      <c r="A275" s="382"/>
      <c r="B275" s="102">
        <v>55</v>
      </c>
      <c r="C275" s="103" t="s">
        <v>24</v>
      </c>
      <c r="D275" s="102">
        <v>5</v>
      </c>
      <c r="E275" s="103"/>
      <c r="F275" s="101"/>
      <c r="G275" s="101"/>
      <c r="H275" s="101" t="s">
        <v>581</v>
      </c>
      <c r="I275" s="104">
        <v>45848</v>
      </c>
      <c r="J275" s="103" t="s">
        <v>618</v>
      </c>
      <c r="Q275" s="161">
        <v>2.0139999999999998</v>
      </c>
      <c r="R275" s="287">
        <f t="shared" si="15"/>
        <v>9.9304865938430993</v>
      </c>
    </row>
    <row r="276" spans="1:18" x14ac:dyDescent="0.25">
      <c r="A276" s="382"/>
      <c r="B276" s="102">
        <v>55</v>
      </c>
      <c r="C276" s="103" t="s">
        <v>24</v>
      </c>
      <c r="D276" s="102">
        <v>6</v>
      </c>
      <c r="E276" s="103"/>
      <c r="F276" s="101"/>
      <c r="G276" s="101"/>
      <c r="H276" s="101" t="s">
        <v>583</v>
      </c>
      <c r="I276" s="104">
        <v>45848</v>
      </c>
      <c r="J276" s="103" t="s">
        <v>619</v>
      </c>
      <c r="Q276" s="161">
        <v>1.9419999999999999</v>
      </c>
      <c r="R276" s="287">
        <f t="shared" si="15"/>
        <v>10.298661174047375</v>
      </c>
    </row>
    <row r="277" spans="1:18" x14ac:dyDescent="0.25">
      <c r="A277" s="382"/>
      <c r="B277" s="102">
        <v>55</v>
      </c>
      <c r="C277" s="103" t="s">
        <v>24</v>
      </c>
      <c r="D277" s="102">
        <v>7</v>
      </c>
      <c r="E277" s="103"/>
      <c r="F277" s="101"/>
      <c r="G277" s="101"/>
      <c r="H277" s="101" t="s">
        <v>585</v>
      </c>
      <c r="I277" s="104">
        <v>45848</v>
      </c>
      <c r="J277" s="103" t="s">
        <v>620</v>
      </c>
      <c r="Q277" s="161">
        <v>1.9770000000000001</v>
      </c>
      <c r="R277" s="287">
        <f t="shared" si="15"/>
        <v>10.116337885685381</v>
      </c>
    </row>
    <row r="278" spans="1:18" x14ac:dyDescent="0.25">
      <c r="A278" s="382"/>
      <c r="B278" s="102">
        <v>55</v>
      </c>
      <c r="C278" s="103" t="s">
        <v>24</v>
      </c>
      <c r="D278" s="102">
        <v>8</v>
      </c>
      <c r="E278" s="103"/>
      <c r="F278" s="101"/>
      <c r="G278" s="101"/>
      <c r="H278" s="101" t="s">
        <v>591</v>
      </c>
      <c r="I278" s="104">
        <v>45848</v>
      </c>
      <c r="J278" s="103" t="s">
        <v>621</v>
      </c>
      <c r="Q278" s="161">
        <v>2.0339999999999998</v>
      </c>
      <c r="R278" s="287">
        <f t="shared" si="15"/>
        <v>9.8328416912487722</v>
      </c>
    </row>
    <row r="279" spans="1:18" x14ac:dyDescent="0.25">
      <c r="A279" s="382"/>
      <c r="B279" s="102">
        <v>55</v>
      </c>
      <c r="C279" s="103" t="s">
        <v>24</v>
      </c>
      <c r="D279" s="102">
        <v>9</v>
      </c>
      <c r="E279" s="103"/>
      <c r="F279" s="101"/>
      <c r="G279" s="101"/>
      <c r="H279" s="101" t="s">
        <v>581</v>
      </c>
      <c r="I279" s="104">
        <v>45848</v>
      </c>
      <c r="J279" s="103" t="s">
        <v>622</v>
      </c>
      <c r="Q279" s="161">
        <v>1.998</v>
      </c>
      <c r="R279" s="287">
        <f t="shared" si="15"/>
        <v>10.01001001001001</v>
      </c>
    </row>
    <row r="280" spans="1:18" x14ac:dyDescent="0.25">
      <c r="A280" s="382"/>
      <c r="B280" s="102">
        <v>55</v>
      </c>
      <c r="C280" s="103" t="s">
        <v>24</v>
      </c>
      <c r="D280" s="102">
        <v>10</v>
      </c>
      <c r="E280" s="103"/>
      <c r="F280" s="101"/>
      <c r="G280" s="101"/>
      <c r="H280" s="101" t="s">
        <v>583</v>
      </c>
      <c r="I280" s="104">
        <v>45848</v>
      </c>
      <c r="J280" s="103" t="s">
        <v>623</v>
      </c>
      <c r="Q280" s="161">
        <v>2.0169999999999999</v>
      </c>
      <c r="R280" s="287">
        <f t="shared" si="15"/>
        <v>9.9157164105106599</v>
      </c>
    </row>
    <row r="281" spans="1:18" x14ac:dyDescent="0.25">
      <c r="A281" s="382"/>
      <c r="B281" s="102">
        <v>55</v>
      </c>
      <c r="C281" s="103" t="s">
        <v>24</v>
      </c>
      <c r="D281" s="102">
        <v>11</v>
      </c>
      <c r="E281" s="103"/>
      <c r="F281" s="101"/>
      <c r="G281" s="101"/>
      <c r="H281" s="101" t="s">
        <v>585</v>
      </c>
      <c r="I281" s="104">
        <v>45848</v>
      </c>
      <c r="J281" s="103" t="s">
        <v>624</v>
      </c>
      <c r="Q281" s="161">
        <v>2.0449999999999999</v>
      </c>
      <c r="R281" s="287">
        <f t="shared" si="15"/>
        <v>9.7799511002444994</v>
      </c>
    </row>
    <row r="282" spans="1:18" s="180" customFormat="1" x14ac:dyDescent="0.25">
      <c r="A282" s="383"/>
      <c r="B282" s="112">
        <v>55</v>
      </c>
      <c r="C282" s="111" t="s">
        <v>24</v>
      </c>
      <c r="D282" s="112">
        <v>12</v>
      </c>
      <c r="E282" s="111"/>
      <c r="F282" s="113"/>
      <c r="G282" s="113"/>
      <c r="H282" s="113" t="s">
        <v>591</v>
      </c>
      <c r="I282" s="114">
        <v>45848</v>
      </c>
      <c r="J282" s="111" t="s">
        <v>625</v>
      </c>
      <c r="K282" s="175"/>
      <c r="L282" s="179"/>
      <c r="Q282" s="268">
        <v>1.9810000000000001</v>
      </c>
      <c r="R282" s="288">
        <f t="shared" si="15"/>
        <v>10.095911155981828</v>
      </c>
    </row>
    <row r="283" spans="1:18" s="186" customFormat="1" x14ac:dyDescent="0.25">
      <c r="A283" s="381" t="s">
        <v>580</v>
      </c>
      <c r="B283" s="93">
        <v>56</v>
      </c>
      <c r="C283" s="94" t="s">
        <v>45</v>
      </c>
      <c r="D283" s="93">
        <v>1</v>
      </c>
      <c r="E283" s="94"/>
      <c r="F283" s="92"/>
      <c r="G283" s="92"/>
      <c r="H283" s="92" t="s">
        <v>583</v>
      </c>
      <c r="I283" s="93"/>
      <c r="J283" s="94" t="s">
        <v>626</v>
      </c>
      <c r="K283" s="182"/>
      <c r="L283" s="185"/>
      <c r="Q283" s="270"/>
    </row>
    <row r="284" spans="1:18" x14ac:dyDescent="0.25">
      <c r="A284" s="382"/>
      <c r="B284" s="102">
        <v>56</v>
      </c>
      <c r="C284" s="103" t="s">
        <v>45</v>
      </c>
      <c r="D284" s="102">
        <v>3</v>
      </c>
      <c r="E284" s="103"/>
      <c r="F284" s="101"/>
      <c r="G284" s="101"/>
      <c r="H284" s="101" t="s">
        <v>583</v>
      </c>
      <c r="J284" s="103" t="s">
        <v>627</v>
      </c>
    </row>
    <row r="285" spans="1:18" x14ac:dyDescent="0.25">
      <c r="A285" s="382"/>
      <c r="B285" s="102">
        <v>56</v>
      </c>
      <c r="C285" s="103" t="s">
        <v>45</v>
      </c>
      <c r="D285" s="102">
        <v>4</v>
      </c>
      <c r="E285" s="103"/>
      <c r="F285" s="101"/>
      <c r="G285" s="101"/>
      <c r="H285" s="101" t="s">
        <v>583</v>
      </c>
      <c r="J285" s="103" t="s">
        <v>628</v>
      </c>
    </row>
    <row r="286" spans="1:18" x14ac:dyDescent="0.25">
      <c r="A286" s="382"/>
      <c r="B286" s="102">
        <v>56</v>
      </c>
      <c r="C286" s="103" t="s">
        <v>45</v>
      </c>
      <c r="D286" s="102">
        <v>7</v>
      </c>
      <c r="E286" s="103"/>
      <c r="F286" s="101"/>
      <c r="G286" s="101"/>
      <c r="H286" s="101" t="s">
        <v>591</v>
      </c>
      <c r="J286" s="103" t="s">
        <v>629</v>
      </c>
    </row>
    <row r="287" spans="1:18" s="180" customFormat="1" x14ac:dyDescent="0.25">
      <c r="A287" s="383"/>
      <c r="B287" s="112">
        <v>56</v>
      </c>
      <c r="C287" s="111" t="s">
        <v>45</v>
      </c>
      <c r="D287" s="112">
        <v>8</v>
      </c>
      <c r="E287" s="111"/>
      <c r="F287" s="113"/>
      <c r="G287" s="113"/>
      <c r="H287" s="113" t="s">
        <v>591</v>
      </c>
      <c r="I287" s="112"/>
      <c r="J287" s="111" t="s">
        <v>630</v>
      </c>
      <c r="K287" s="175"/>
      <c r="L287" s="179"/>
      <c r="Q287" s="268"/>
    </row>
    <row r="288" spans="1:18" s="186" customFormat="1" x14ac:dyDescent="0.25">
      <c r="A288" s="381" t="s">
        <v>580</v>
      </c>
      <c r="B288" s="93">
        <v>58</v>
      </c>
      <c r="C288" s="94" t="s">
        <v>45</v>
      </c>
      <c r="D288" s="93">
        <v>2</v>
      </c>
      <c r="E288" s="94"/>
      <c r="F288" s="92"/>
      <c r="G288" s="92"/>
      <c r="H288" s="92" t="s">
        <v>583</v>
      </c>
      <c r="I288" s="95">
        <v>45868</v>
      </c>
      <c r="J288" s="94" t="s">
        <v>631</v>
      </c>
      <c r="K288" s="182"/>
      <c r="L288" s="185"/>
      <c r="Q288" s="270">
        <v>0.53900000000000003</v>
      </c>
    </row>
    <row r="289" spans="1:44" x14ac:dyDescent="0.25">
      <c r="A289" s="382"/>
      <c r="B289" s="125">
        <v>58</v>
      </c>
      <c r="C289" s="103" t="s">
        <v>45</v>
      </c>
      <c r="D289" s="102">
        <v>5</v>
      </c>
      <c r="E289" s="103"/>
      <c r="F289" s="101"/>
      <c r="G289" s="101"/>
      <c r="H289" s="126" t="s">
        <v>583</v>
      </c>
      <c r="I289" s="152">
        <v>45868</v>
      </c>
      <c r="J289" s="124" t="s">
        <v>632</v>
      </c>
      <c r="Q289" s="161">
        <v>0.48199999999999998</v>
      </c>
    </row>
    <row r="290" spans="1:44" s="180" customFormat="1" x14ac:dyDescent="0.25">
      <c r="A290" s="382"/>
      <c r="B290" s="158">
        <v>58</v>
      </c>
      <c r="C290" s="111" t="s">
        <v>45</v>
      </c>
      <c r="D290" s="112">
        <v>6</v>
      </c>
      <c r="E290" s="111"/>
      <c r="F290" s="113"/>
      <c r="G290" s="113"/>
      <c r="H290" s="157" t="s">
        <v>583</v>
      </c>
      <c r="I290" s="250">
        <v>45868</v>
      </c>
      <c r="J290" s="209" t="s">
        <v>633</v>
      </c>
      <c r="K290" s="175"/>
      <c r="L290" s="179"/>
      <c r="Q290" s="268">
        <v>0.59899999999999998</v>
      </c>
    </row>
    <row r="291" spans="1:44" s="294" customFormat="1" ht="18" customHeight="1" x14ac:dyDescent="0.25">
      <c r="A291" s="383"/>
      <c r="B291" s="289"/>
      <c r="C291" s="290" t="s">
        <v>24</v>
      </c>
      <c r="D291" s="289">
        <v>1</v>
      </c>
      <c r="E291" s="290"/>
      <c r="F291" s="291"/>
      <c r="G291" s="291"/>
      <c r="H291" s="291"/>
      <c r="I291" s="289"/>
      <c r="J291" s="290" t="s">
        <v>634</v>
      </c>
      <c r="K291" s="292"/>
      <c r="L291" s="293"/>
      <c r="Q291" s="295"/>
    </row>
    <row r="292" spans="1:44" s="218" customFormat="1" x14ac:dyDescent="0.25">
      <c r="A292" s="375" t="s">
        <v>580</v>
      </c>
      <c r="B292" s="158">
        <v>59</v>
      </c>
      <c r="C292" s="209" t="s">
        <v>45</v>
      </c>
      <c r="D292" s="158">
        <v>1</v>
      </c>
      <c r="E292" s="209"/>
      <c r="F292" s="209"/>
      <c r="G292" s="209"/>
      <c r="H292" s="157" t="s">
        <v>583</v>
      </c>
      <c r="I292" s="250">
        <v>45882</v>
      </c>
      <c r="J292" s="209" t="s">
        <v>635</v>
      </c>
      <c r="K292" s="205"/>
      <c r="L292" s="205"/>
      <c r="M292" s="205"/>
      <c r="N292" s="210"/>
      <c r="Q292" s="296"/>
    </row>
    <row r="293" spans="1:44" s="205" customFormat="1" x14ac:dyDescent="0.25">
      <c r="A293" s="376"/>
      <c r="B293" s="158">
        <v>59</v>
      </c>
      <c r="C293" s="209" t="s">
        <v>45</v>
      </c>
      <c r="D293" s="158">
        <v>7</v>
      </c>
      <c r="E293" s="209"/>
      <c r="F293" s="209"/>
      <c r="G293" s="209"/>
      <c r="H293" s="157" t="s">
        <v>583</v>
      </c>
      <c r="I293" s="250">
        <v>45882</v>
      </c>
      <c r="J293" s="209" t="s">
        <v>636</v>
      </c>
      <c r="Q293" s="276"/>
    </row>
    <row r="294" spans="1:44" s="205" customFormat="1" x14ac:dyDescent="0.25">
      <c r="A294" s="376"/>
      <c r="B294" s="158">
        <v>59</v>
      </c>
      <c r="C294" s="209" t="s">
        <v>45</v>
      </c>
      <c r="D294" s="158">
        <v>8</v>
      </c>
      <c r="E294" s="209"/>
      <c r="F294" s="209"/>
      <c r="G294" s="209"/>
      <c r="H294" s="157" t="s">
        <v>583</v>
      </c>
      <c r="I294" s="250">
        <v>45882</v>
      </c>
      <c r="J294" s="209" t="s">
        <v>637</v>
      </c>
      <c r="Q294" s="276"/>
    </row>
    <row r="295" spans="1:44" s="205" customFormat="1" x14ac:dyDescent="0.25">
      <c r="A295" s="376"/>
      <c r="B295" s="158">
        <v>59</v>
      </c>
      <c r="C295" s="209" t="s">
        <v>24</v>
      </c>
      <c r="D295" s="297" t="s">
        <v>638</v>
      </c>
      <c r="E295" s="209"/>
      <c r="F295" s="209"/>
      <c r="G295" s="209"/>
      <c r="H295" s="157" t="s">
        <v>583</v>
      </c>
      <c r="I295" s="250">
        <v>45882</v>
      </c>
      <c r="J295" s="209" t="s">
        <v>639</v>
      </c>
      <c r="Q295" s="276"/>
    </row>
    <row r="296" spans="1:44" s="219" customFormat="1" x14ac:dyDescent="0.25">
      <c r="A296" s="377"/>
      <c r="B296" s="163">
        <v>59</v>
      </c>
      <c r="C296" s="229" t="s">
        <v>24</v>
      </c>
      <c r="D296" s="298" t="s">
        <v>640</v>
      </c>
      <c r="E296" s="229"/>
      <c r="F296" s="229"/>
      <c r="G296" s="229"/>
      <c r="H296" s="162" t="s">
        <v>583</v>
      </c>
      <c r="I296" s="254">
        <v>45882</v>
      </c>
      <c r="J296" s="229" t="s">
        <v>641</v>
      </c>
      <c r="Q296" s="235"/>
    </row>
    <row r="297" spans="1:44" s="155" customFormat="1" x14ac:dyDescent="0.25">
      <c r="A297" s="378" t="s">
        <v>580</v>
      </c>
      <c r="B297" s="125">
        <v>60</v>
      </c>
      <c r="C297" s="209" t="s">
        <v>45</v>
      </c>
      <c r="D297" s="125">
        <v>3</v>
      </c>
      <c r="E297" s="124"/>
      <c r="F297" s="126"/>
      <c r="G297" s="126"/>
      <c r="H297" s="157" t="s">
        <v>583</v>
      </c>
      <c r="I297" s="125"/>
      <c r="J297" s="209" t="s">
        <v>642</v>
      </c>
      <c r="K297" s="299"/>
      <c r="L297" s="154"/>
      <c r="Q297" s="156"/>
    </row>
    <row r="298" spans="1:44" x14ac:dyDescent="0.25">
      <c r="A298" s="379"/>
      <c r="B298" s="102">
        <v>60</v>
      </c>
      <c r="C298" s="209" t="s">
        <v>45</v>
      </c>
      <c r="D298" s="102">
        <v>4</v>
      </c>
      <c r="E298" s="103"/>
      <c r="F298" s="101"/>
      <c r="G298" s="101"/>
      <c r="H298" s="157" t="s">
        <v>583</v>
      </c>
      <c r="J298" s="209" t="s">
        <v>643</v>
      </c>
      <c r="K298" s="280"/>
    </row>
    <row r="299" spans="1:44" x14ac:dyDescent="0.25">
      <c r="A299" s="380"/>
      <c r="B299" s="300">
        <v>60</v>
      </c>
      <c r="C299" s="301" t="s">
        <v>45</v>
      </c>
      <c r="D299" s="300">
        <v>5</v>
      </c>
      <c r="E299" s="302"/>
      <c r="F299" s="303"/>
      <c r="G299" s="303"/>
      <c r="H299" s="304" t="s">
        <v>583</v>
      </c>
      <c r="I299" s="300"/>
      <c r="J299" s="301" t="s">
        <v>644</v>
      </c>
      <c r="K299" s="305"/>
      <c r="L299" s="306"/>
      <c r="M299" s="307"/>
      <c r="N299" s="307"/>
      <c r="O299" s="307"/>
      <c r="P299" s="307"/>
      <c r="Q299" s="308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AF299" s="307"/>
      <c r="AG299" s="307"/>
      <c r="AH299" s="307"/>
      <c r="AI299" s="307"/>
      <c r="AJ299" s="307"/>
      <c r="AK299" s="307"/>
      <c r="AL299" s="307"/>
      <c r="AM299" s="307"/>
      <c r="AN299" s="307"/>
      <c r="AO299" s="307"/>
      <c r="AP299" s="307"/>
      <c r="AQ299" s="307"/>
      <c r="AR299" s="307"/>
    </row>
    <row r="300" spans="1:44" x14ac:dyDescent="0.25">
      <c r="A300" s="384" t="s">
        <v>580</v>
      </c>
      <c r="B300" s="125">
        <v>63</v>
      </c>
      <c r="C300" s="124" t="s">
        <v>24</v>
      </c>
      <c r="D300" s="125">
        <v>1</v>
      </c>
      <c r="E300" s="124"/>
      <c r="F300" s="126"/>
      <c r="G300" s="126"/>
      <c r="H300" s="126" t="s">
        <v>583</v>
      </c>
      <c r="I300" s="152">
        <v>45898</v>
      </c>
      <c r="J300" s="124" t="s">
        <v>645</v>
      </c>
      <c r="K300" s="153"/>
      <c r="L300" s="154"/>
      <c r="M300" s="155"/>
      <c r="N300" s="155"/>
      <c r="O300" s="155"/>
      <c r="P300" s="155"/>
      <c r="Q300" s="156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</row>
    <row r="301" spans="1:44" x14ac:dyDescent="0.25">
      <c r="A301" s="379"/>
      <c r="B301" s="102">
        <v>63</v>
      </c>
      <c r="C301" s="124" t="s">
        <v>24</v>
      </c>
      <c r="D301" s="102">
        <v>2</v>
      </c>
      <c r="E301" s="103"/>
      <c r="F301" s="101"/>
      <c r="G301" s="101"/>
      <c r="H301" s="126" t="s">
        <v>583</v>
      </c>
      <c r="I301" s="152">
        <v>45898</v>
      </c>
      <c r="J301" s="124" t="s">
        <v>646</v>
      </c>
    </row>
    <row r="302" spans="1:44" x14ac:dyDescent="0.25">
      <c r="A302" s="379"/>
      <c r="B302" s="102">
        <v>63</v>
      </c>
      <c r="C302" s="124" t="s">
        <v>24</v>
      </c>
      <c r="D302" s="102">
        <v>3</v>
      </c>
      <c r="E302" s="103"/>
      <c r="F302" s="101"/>
      <c r="G302" s="101"/>
      <c r="H302" s="126" t="s">
        <v>591</v>
      </c>
      <c r="I302" s="152">
        <v>45898</v>
      </c>
      <c r="J302" s="124" t="s">
        <v>647</v>
      </c>
    </row>
    <row r="303" spans="1:44" s="307" customFormat="1" x14ac:dyDescent="0.25">
      <c r="A303" s="379"/>
      <c r="B303" s="112">
        <v>63</v>
      </c>
      <c r="C303" s="209" t="s">
        <v>24</v>
      </c>
      <c r="D303" s="112">
        <v>4</v>
      </c>
      <c r="E303" s="111"/>
      <c r="F303" s="113"/>
      <c r="G303" s="113"/>
      <c r="H303" s="157" t="s">
        <v>591</v>
      </c>
      <c r="I303" s="250">
        <v>45898</v>
      </c>
      <c r="J303" s="209" t="s">
        <v>648</v>
      </c>
      <c r="K303" s="309"/>
      <c r="L303" s="306"/>
      <c r="Q303" s="308"/>
    </row>
    <row r="304" spans="1:44" s="155" customFormat="1" x14ac:dyDescent="0.25">
      <c r="A304" s="378" t="s">
        <v>580</v>
      </c>
      <c r="B304" s="93">
        <v>61</v>
      </c>
      <c r="C304" s="94" t="s">
        <v>45</v>
      </c>
      <c r="D304" s="93">
        <v>1</v>
      </c>
      <c r="E304" s="94"/>
      <c r="F304" s="92"/>
      <c r="G304" s="92"/>
      <c r="H304" s="92" t="s">
        <v>583</v>
      </c>
      <c r="I304" s="93"/>
      <c r="J304" s="315" t="s">
        <v>649</v>
      </c>
      <c r="K304" s="299"/>
      <c r="L304" s="154"/>
      <c r="Q304" s="156">
        <v>0.65900000000000003</v>
      </c>
      <c r="R304" s="155">
        <v>15</v>
      </c>
      <c r="S304" s="155">
        <v>20</v>
      </c>
    </row>
    <row r="305" spans="1:30" x14ac:dyDescent="0.25">
      <c r="A305" s="379"/>
      <c r="B305" s="125">
        <v>61</v>
      </c>
      <c r="C305" s="124" t="s">
        <v>45</v>
      </c>
      <c r="D305" s="102">
        <v>2</v>
      </c>
      <c r="E305" s="103"/>
      <c r="F305" s="101"/>
      <c r="G305" s="101"/>
      <c r="H305" s="101" t="s">
        <v>583</v>
      </c>
      <c r="J305" s="316" t="s">
        <v>650</v>
      </c>
      <c r="K305" s="280"/>
      <c r="Q305" s="161">
        <v>0.68500000000000005</v>
      </c>
      <c r="R305" s="155">
        <v>15</v>
      </c>
      <c r="S305" s="139">
        <v>20</v>
      </c>
    </row>
    <row r="306" spans="1:30" x14ac:dyDescent="0.25">
      <c r="A306" s="379"/>
      <c r="B306" s="125">
        <v>61</v>
      </c>
      <c r="C306" s="124" t="s">
        <v>45</v>
      </c>
      <c r="D306" s="102">
        <v>3</v>
      </c>
      <c r="E306" s="103"/>
      <c r="F306" s="101"/>
      <c r="G306" s="101"/>
      <c r="H306" s="101" t="s">
        <v>591</v>
      </c>
      <c r="J306" s="316" t="s">
        <v>651</v>
      </c>
      <c r="K306" s="280"/>
      <c r="Q306" s="161">
        <v>1.0569999999999999</v>
      </c>
      <c r="R306" s="155">
        <v>15</v>
      </c>
      <c r="S306" s="139">
        <v>20</v>
      </c>
    </row>
    <row r="307" spans="1:30" x14ac:dyDescent="0.25">
      <c r="A307" s="379"/>
      <c r="B307" s="125">
        <v>61</v>
      </c>
      <c r="C307" s="124" t="s">
        <v>45</v>
      </c>
      <c r="D307" s="102">
        <v>4</v>
      </c>
      <c r="E307" s="103"/>
      <c r="F307" s="101"/>
      <c r="G307" s="101"/>
      <c r="H307" s="101" t="s">
        <v>591</v>
      </c>
      <c r="J307" s="316" t="s">
        <v>652</v>
      </c>
      <c r="K307" s="280"/>
      <c r="Q307" s="161" t="s">
        <v>653</v>
      </c>
      <c r="R307" s="161" t="s">
        <v>653</v>
      </c>
      <c r="S307" s="161" t="s">
        <v>653</v>
      </c>
    </row>
    <row r="308" spans="1:30" x14ac:dyDescent="0.25">
      <c r="A308" s="379"/>
      <c r="B308" s="125">
        <v>61</v>
      </c>
      <c r="C308" s="124" t="s">
        <v>24</v>
      </c>
      <c r="D308" s="102"/>
      <c r="E308" s="103"/>
      <c r="F308" s="101"/>
      <c r="G308" s="101"/>
      <c r="H308" s="101" t="s">
        <v>583</v>
      </c>
      <c r="J308" s="316" t="s">
        <v>654</v>
      </c>
      <c r="K308" s="280"/>
      <c r="Q308" s="161">
        <v>0.76</v>
      </c>
      <c r="R308" s="155">
        <v>15</v>
      </c>
      <c r="S308" s="139">
        <v>10</v>
      </c>
    </row>
    <row r="309" spans="1:30" x14ac:dyDescent="0.25">
      <c r="A309" s="379"/>
      <c r="B309" s="158">
        <v>61</v>
      </c>
      <c r="C309" s="209" t="s">
        <v>24</v>
      </c>
      <c r="D309" s="112"/>
      <c r="E309" s="111"/>
      <c r="F309" s="113"/>
      <c r="G309" s="113"/>
      <c r="H309" s="113" t="s">
        <v>591</v>
      </c>
      <c r="I309" s="112"/>
      <c r="J309" s="312" t="s">
        <v>655</v>
      </c>
      <c r="K309" s="280"/>
      <c r="M309" s="307"/>
      <c r="N309" s="307"/>
      <c r="O309" s="307"/>
      <c r="P309" s="307"/>
      <c r="Q309" s="308">
        <v>0.69199999999999995</v>
      </c>
      <c r="R309" s="326">
        <v>15</v>
      </c>
      <c r="S309" s="307">
        <v>10</v>
      </c>
      <c r="T309" s="307"/>
      <c r="U309" s="307"/>
      <c r="V309" s="307"/>
      <c r="W309" s="307"/>
      <c r="X309" s="307"/>
      <c r="Y309" s="307"/>
      <c r="Z309" s="307"/>
      <c r="AA309" s="307"/>
    </row>
    <row r="310" spans="1:30" x14ac:dyDescent="0.25">
      <c r="A310" s="317" t="s">
        <v>656</v>
      </c>
      <c r="B310" s="93" t="s">
        <v>657</v>
      </c>
      <c r="C310" s="94" t="s">
        <v>24</v>
      </c>
      <c r="D310" s="93" t="s">
        <v>658</v>
      </c>
      <c r="E310" s="94"/>
      <c r="F310" s="92"/>
      <c r="G310" s="92" t="s">
        <v>659</v>
      </c>
      <c r="H310" s="148" t="s">
        <v>660</v>
      </c>
      <c r="I310" s="324">
        <v>45935</v>
      </c>
      <c r="J310" s="375" t="s">
        <v>661</v>
      </c>
      <c r="K310" s="280"/>
      <c r="M310" s="155"/>
      <c r="N310" s="155"/>
      <c r="O310" s="155"/>
      <c r="P310" s="155"/>
      <c r="Q310" s="156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</row>
    <row r="311" spans="1:30" x14ac:dyDescent="0.25">
      <c r="A311" s="310" t="s">
        <v>656</v>
      </c>
      <c r="B311" s="158" t="s">
        <v>657</v>
      </c>
      <c r="C311" s="209" t="s">
        <v>24</v>
      </c>
      <c r="D311" s="112" t="s">
        <v>662</v>
      </c>
      <c r="E311" s="111"/>
      <c r="F311" s="113"/>
      <c r="G311" s="113" t="s">
        <v>663</v>
      </c>
      <c r="H311" s="163" t="s">
        <v>660</v>
      </c>
      <c r="I311" s="325">
        <v>45935</v>
      </c>
      <c r="J311" s="376"/>
      <c r="K311" s="280"/>
      <c r="M311" s="307"/>
      <c r="N311" s="307"/>
      <c r="O311" s="307"/>
      <c r="P311" s="307"/>
      <c r="Q311" s="308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</row>
    <row r="312" spans="1:30" x14ac:dyDescent="0.25">
      <c r="A312" s="318" t="s">
        <v>664</v>
      </c>
      <c r="B312" s="148" t="s">
        <v>665</v>
      </c>
      <c r="C312" s="195" t="s">
        <v>24</v>
      </c>
      <c r="D312" s="148" t="s">
        <v>666</v>
      </c>
      <c r="E312" s="195"/>
      <c r="F312" s="195"/>
      <c r="G312" s="195" t="s">
        <v>667</v>
      </c>
      <c r="H312" s="157" t="s">
        <v>660</v>
      </c>
      <c r="I312" s="323">
        <v>45938</v>
      </c>
      <c r="J312" s="311" t="s">
        <v>668</v>
      </c>
      <c r="K312" s="280"/>
      <c r="M312" s="155"/>
      <c r="N312" s="155"/>
      <c r="O312" s="155"/>
      <c r="P312" s="155"/>
      <c r="Q312" s="156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</row>
    <row r="313" spans="1:30" x14ac:dyDescent="0.25">
      <c r="A313" s="319" t="s">
        <v>669</v>
      </c>
      <c r="B313" s="163" t="s">
        <v>665</v>
      </c>
      <c r="C313" s="229" t="s">
        <v>24</v>
      </c>
      <c r="D313" s="163" t="s">
        <v>670</v>
      </c>
      <c r="E313" s="229"/>
      <c r="F313" s="229"/>
      <c r="G313" s="229" t="s">
        <v>671</v>
      </c>
      <c r="H313" s="162" t="s">
        <v>660</v>
      </c>
      <c r="I313" s="322">
        <v>45938</v>
      </c>
      <c r="J313" s="313" t="s">
        <v>672</v>
      </c>
      <c r="K313" s="280"/>
      <c r="M313" s="307"/>
      <c r="N313" s="307"/>
      <c r="O313" s="307"/>
      <c r="P313" s="307"/>
      <c r="Q313" s="308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</row>
    <row r="314" spans="1:30" x14ac:dyDescent="0.25">
      <c r="A314" s="314" t="s">
        <v>673</v>
      </c>
      <c r="B314" s="163" t="s">
        <v>674</v>
      </c>
      <c r="C314" s="229" t="s">
        <v>24</v>
      </c>
      <c r="D314" s="163" t="s">
        <v>675</v>
      </c>
      <c r="E314" s="229"/>
      <c r="F314" s="162"/>
      <c r="G314" s="162" t="s">
        <v>676</v>
      </c>
      <c r="H314" s="162" t="s">
        <v>660</v>
      </c>
      <c r="I314" s="322">
        <v>45940</v>
      </c>
      <c r="J314" s="313" t="s">
        <v>677</v>
      </c>
      <c r="K314" s="280"/>
      <c r="M314" s="307"/>
      <c r="N314" s="307"/>
      <c r="O314" s="307"/>
      <c r="P314" s="307"/>
      <c r="Q314" s="308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</row>
    <row r="315" spans="1:30" x14ac:dyDescent="0.25">
      <c r="A315" s="318" t="s">
        <v>664</v>
      </c>
      <c r="B315" s="148" t="s">
        <v>665</v>
      </c>
      <c r="C315" s="195" t="s">
        <v>24</v>
      </c>
      <c r="D315" s="148" t="s">
        <v>666</v>
      </c>
      <c r="E315" s="195"/>
      <c r="F315" s="195"/>
      <c r="G315" s="195" t="s">
        <v>678</v>
      </c>
      <c r="H315" s="147" t="s">
        <v>660</v>
      </c>
      <c r="I315" s="321">
        <v>45943</v>
      </c>
      <c r="J315" s="311" t="s">
        <v>668</v>
      </c>
    </row>
    <row r="316" spans="1:30" x14ac:dyDescent="0.25">
      <c r="A316" s="320" t="s">
        <v>669</v>
      </c>
      <c r="B316" s="158" t="s">
        <v>665</v>
      </c>
      <c r="C316" s="209" t="s">
        <v>24</v>
      </c>
      <c r="D316" s="158" t="s">
        <v>670</v>
      </c>
      <c r="E316" s="209"/>
      <c r="F316" s="209"/>
      <c r="G316" s="209" t="s">
        <v>679</v>
      </c>
      <c r="H316" s="157" t="s">
        <v>660</v>
      </c>
      <c r="I316" s="323">
        <v>45943</v>
      </c>
      <c r="J316" s="313" t="s">
        <v>672</v>
      </c>
      <c r="M316" s="307"/>
      <c r="N316" s="307"/>
      <c r="O316" s="307"/>
      <c r="P316" s="307"/>
      <c r="Q316" s="308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</row>
    <row r="317" spans="1:30" x14ac:dyDescent="0.25">
      <c r="A317" s="318" t="s">
        <v>673</v>
      </c>
      <c r="B317" s="148" t="s">
        <v>674</v>
      </c>
      <c r="C317" s="195" t="s">
        <v>24</v>
      </c>
      <c r="D317" s="148" t="s">
        <v>680</v>
      </c>
      <c r="E317" s="195"/>
      <c r="F317" s="195"/>
      <c r="G317" s="147" t="s">
        <v>681</v>
      </c>
      <c r="H317" s="147" t="s">
        <v>660</v>
      </c>
      <c r="I317" s="321">
        <v>45946</v>
      </c>
      <c r="J317" s="148" t="s">
        <v>682</v>
      </c>
      <c r="K317" s="280"/>
      <c r="M317" s="139">
        <v>0.66</v>
      </c>
    </row>
    <row r="318" spans="1:30" x14ac:dyDescent="0.25">
      <c r="A318" s="320" t="s">
        <v>673</v>
      </c>
      <c r="B318" s="158" t="s">
        <v>674</v>
      </c>
      <c r="C318" s="209" t="s">
        <v>24</v>
      </c>
      <c r="D318" s="158" t="s">
        <v>683</v>
      </c>
      <c r="E318" s="209"/>
      <c r="F318" s="209"/>
      <c r="G318" s="157" t="s">
        <v>684</v>
      </c>
      <c r="H318" s="157" t="s">
        <v>660</v>
      </c>
      <c r="I318" s="323">
        <v>45946</v>
      </c>
      <c r="J318" s="148" t="s">
        <v>685</v>
      </c>
      <c r="K318" s="329"/>
      <c r="L318" s="179"/>
      <c r="M318" s="180">
        <v>0.63</v>
      </c>
      <c r="N318" s="180"/>
      <c r="O318" s="180"/>
      <c r="P318" s="180"/>
      <c r="Q318" s="268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</row>
    <row r="319" spans="1:30" x14ac:dyDescent="0.25">
      <c r="A319" s="317" t="s">
        <v>580</v>
      </c>
      <c r="B319" s="93" t="s">
        <v>686</v>
      </c>
      <c r="C319" s="94" t="s">
        <v>687</v>
      </c>
      <c r="D319" s="93" t="s">
        <v>688</v>
      </c>
      <c r="E319" s="94"/>
      <c r="F319" s="92"/>
      <c r="G319" s="92"/>
      <c r="H319" s="92" t="s">
        <v>591</v>
      </c>
      <c r="I319" s="92" t="s">
        <v>349</v>
      </c>
      <c r="J319" s="330" t="s">
        <v>689</v>
      </c>
      <c r="K319" s="331"/>
      <c r="L319" s="185"/>
      <c r="M319" s="186"/>
      <c r="N319" s="186"/>
      <c r="O319" s="186"/>
      <c r="P319" s="186"/>
      <c r="Q319" s="270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8"/>
      <c r="AD319" s="138"/>
    </row>
    <row r="320" spans="1:30" x14ac:dyDescent="0.25">
      <c r="A320" s="310" t="s">
        <v>580</v>
      </c>
      <c r="B320" s="125" t="s">
        <v>686</v>
      </c>
      <c r="C320" s="124" t="s">
        <v>687</v>
      </c>
      <c r="D320" s="125" t="s">
        <v>690</v>
      </c>
      <c r="E320" s="103"/>
      <c r="F320" s="101"/>
      <c r="G320" s="126"/>
      <c r="H320" s="126" t="s">
        <v>591</v>
      </c>
      <c r="I320" s="101" t="s">
        <v>349</v>
      </c>
      <c r="J320" s="327" t="s">
        <v>691</v>
      </c>
      <c r="K320" s="280"/>
      <c r="AC320" s="189"/>
      <c r="AD320" s="138"/>
    </row>
    <row r="321" spans="1:34" x14ac:dyDescent="0.25">
      <c r="A321" s="310" t="s">
        <v>580</v>
      </c>
      <c r="B321" s="125" t="s">
        <v>686</v>
      </c>
      <c r="C321" s="124" t="s">
        <v>687</v>
      </c>
      <c r="D321" s="125" t="s">
        <v>692</v>
      </c>
      <c r="E321" s="103"/>
      <c r="F321" s="101"/>
      <c r="G321" s="126"/>
      <c r="H321" s="126" t="s">
        <v>591</v>
      </c>
      <c r="I321" s="101" t="s">
        <v>349</v>
      </c>
      <c r="J321" s="327" t="s">
        <v>693</v>
      </c>
      <c r="K321" s="280"/>
      <c r="AC321" s="189"/>
      <c r="AD321" s="138"/>
    </row>
    <row r="322" spans="1:34" x14ac:dyDescent="0.25">
      <c r="A322" s="314" t="s">
        <v>580</v>
      </c>
      <c r="B322" s="163" t="s">
        <v>686</v>
      </c>
      <c r="C322" s="229" t="s">
        <v>687</v>
      </c>
      <c r="D322" s="163" t="s">
        <v>694</v>
      </c>
      <c r="E322" s="119"/>
      <c r="F322" s="109"/>
      <c r="G322" s="162"/>
      <c r="H322" s="162" t="s">
        <v>591</v>
      </c>
      <c r="I322" s="109" t="s">
        <v>349</v>
      </c>
      <c r="J322" s="163" t="s">
        <v>695</v>
      </c>
      <c r="K322" s="284"/>
      <c r="L322" s="143"/>
      <c r="M322" s="146"/>
      <c r="N322" s="146"/>
      <c r="O322" s="146"/>
      <c r="P322" s="146"/>
      <c r="Q322" s="167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328"/>
      <c r="AD322" s="138"/>
    </row>
    <row r="323" spans="1:34" x14ac:dyDescent="0.25">
      <c r="A323" s="310" t="s">
        <v>669</v>
      </c>
      <c r="B323" s="125" t="s">
        <v>696</v>
      </c>
      <c r="C323" s="124" t="s">
        <v>24</v>
      </c>
      <c r="D323" s="126" t="s">
        <v>697</v>
      </c>
      <c r="E323" s="124"/>
      <c r="F323" s="126"/>
      <c r="G323" s="126"/>
      <c r="H323" s="126" t="s">
        <v>698</v>
      </c>
      <c r="I323" s="335">
        <v>45954</v>
      </c>
      <c r="J323" s="327" t="s">
        <v>699</v>
      </c>
      <c r="K323" s="299"/>
      <c r="L323" s="154"/>
      <c r="M323" s="155"/>
      <c r="N323" s="155"/>
      <c r="O323" s="155"/>
      <c r="P323" s="155"/>
      <c r="Q323" s="156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</row>
    <row r="324" spans="1:34" x14ac:dyDescent="0.25">
      <c r="A324" s="310" t="s">
        <v>669</v>
      </c>
      <c r="B324" s="158" t="s">
        <v>696</v>
      </c>
      <c r="C324" s="209" t="s">
        <v>24</v>
      </c>
      <c r="D324" s="157" t="s">
        <v>700</v>
      </c>
      <c r="E324" s="111"/>
      <c r="F324" s="113"/>
      <c r="G324" s="157"/>
      <c r="H324" s="113" t="s">
        <v>701</v>
      </c>
      <c r="I324" s="336">
        <v>45954</v>
      </c>
      <c r="J324" s="158" t="s">
        <v>702</v>
      </c>
      <c r="K324" s="329"/>
      <c r="L324" s="179"/>
      <c r="M324" s="180"/>
      <c r="N324" s="180"/>
      <c r="O324" s="180"/>
      <c r="P324" s="180"/>
      <c r="Q324" s="268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</row>
    <row r="325" spans="1:34" x14ac:dyDescent="0.25">
      <c r="A325" s="317" t="s">
        <v>703</v>
      </c>
      <c r="B325" s="195" t="s">
        <v>704</v>
      </c>
      <c r="C325" s="195" t="s">
        <v>24</v>
      </c>
      <c r="D325" s="148" t="s">
        <v>705</v>
      </c>
      <c r="E325" s="195"/>
      <c r="F325" s="195"/>
      <c r="G325" s="195"/>
      <c r="H325" s="148" t="s">
        <v>660</v>
      </c>
      <c r="I325" s="337">
        <v>45960</v>
      </c>
      <c r="J325" s="148" t="s">
        <v>706</v>
      </c>
      <c r="K325" s="191"/>
      <c r="L325" s="191"/>
      <c r="M325" s="191"/>
      <c r="N325" s="191"/>
      <c r="O325" s="191"/>
      <c r="P325" s="191"/>
      <c r="Q325" s="333">
        <v>5.0419999999999998</v>
      </c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332"/>
      <c r="AG325" s="205"/>
      <c r="AH325" s="138"/>
    </row>
    <row r="326" spans="1:34" x14ac:dyDescent="0.25">
      <c r="A326" s="310" t="s">
        <v>703</v>
      </c>
      <c r="B326" s="209" t="s">
        <v>704</v>
      </c>
      <c r="C326" s="209" t="s">
        <v>24</v>
      </c>
      <c r="D326" s="158" t="s">
        <v>707</v>
      </c>
      <c r="E326" s="209"/>
      <c r="F326" s="209"/>
      <c r="G326" s="209"/>
      <c r="H326" s="158" t="s">
        <v>660</v>
      </c>
      <c r="I326" s="338">
        <v>45960</v>
      </c>
      <c r="J326" s="158" t="s">
        <v>708</v>
      </c>
      <c r="K326" s="205"/>
      <c r="L326" s="205"/>
      <c r="M326" s="205"/>
      <c r="N326" s="205"/>
      <c r="O326" s="205"/>
      <c r="P326" s="205"/>
      <c r="Q326" s="276"/>
      <c r="R326" s="205"/>
      <c r="S326" s="205"/>
      <c r="T326" s="205"/>
      <c r="U326" s="205"/>
      <c r="V326" s="205"/>
      <c r="W326" s="205"/>
      <c r="X326" s="219"/>
      <c r="Y326" s="219"/>
      <c r="Z326" s="219"/>
      <c r="AA326" s="219"/>
      <c r="AB326" s="219"/>
      <c r="AC326" s="219"/>
      <c r="AD326" s="219"/>
      <c r="AE326" s="219"/>
      <c r="AF326" s="334"/>
      <c r="AG326" s="205"/>
      <c r="AH326" s="138"/>
    </row>
    <row r="327" spans="1:34" x14ac:dyDescent="0.25">
      <c r="A327" s="317" t="s">
        <v>709</v>
      </c>
      <c r="B327" s="195" t="s">
        <v>710</v>
      </c>
      <c r="C327" s="195" t="s">
        <v>24</v>
      </c>
      <c r="D327" s="148" t="s">
        <v>711</v>
      </c>
      <c r="E327" s="195"/>
      <c r="F327" s="195"/>
      <c r="G327" s="195"/>
      <c r="H327" s="148" t="s">
        <v>660</v>
      </c>
      <c r="I327" s="339">
        <v>45960</v>
      </c>
      <c r="J327" s="93" t="s">
        <v>712</v>
      </c>
      <c r="K327" s="331"/>
      <c r="L327" s="185"/>
      <c r="M327" s="186"/>
      <c r="N327" s="186"/>
      <c r="O327" s="186"/>
      <c r="P327" s="186"/>
      <c r="Q327" s="270"/>
      <c r="R327" s="186"/>
      <c r="S327" s="186"/>
      <c r="T327" s="186"/>
      <c r="U327" s="186"/>
      <c r="V327" s="186"/>
      <c r="W327" s="188"/>
      <c r="X327" s="154"/>
      <c r="Y327" s="155"/>
      <c r="Z327" s="155"/>
      <c r="AA327" s="155"/>
      <c r="AB327" s="155"/>
      <c r="AC327" s="155"/>
      <c r="AD327" s="155"/>
      <c r="AE327" s="155"/>
      <c r="AF327" s="155"/>
      <c r="AG327" s="155"/>
    </row>
    <row r="328" spans="1:34" x14ac:dyDescent="0.25">
      <c r="A328" s="314" t="s">
        <v>709</v>
      </c>
      <c r="B328" s="229" t="s">
        <v>710</v>
      </c>
      <c r="C328" s="229" t="s">
        <v>24</v>
      </c>
      <c r="D328" s="163" t="s">
        <v>713</v>
      </c>
      <c r="E328" s="229"/>
      <c r="F328" s="229"/>
      <c r="G328" s="229"/>
      <c r="H328" s="163" t="s">
        <v>660</v>
      </c>
      <c r="I328" s="340">
        <v>45960</v>
      </c>
      <c r="J328" s="110" t="s">
        <v>714</v>
      </c>
      <c r="K328" s="284"/>
      <c r="L328" s="143"/>
      <c r="M328" s="146"/>
      <c r="N328" s="146"/>
      <c r="O328" s="146"/>
      <c r="P328" s="146"/>
      <c r="Q328" s="167"/>
      <c r="R328" s="146"/>
      <c r="S328" s="146"/>
      <c r="T328" s="146"/>
      <c r="U328" s="146"/>
      <c r="V328" s="146"/>
      <c r="W328" s="328"/>
      <c r="X328" s="138"/>
    </row>
    <row r="329" spans="1:34" x14ac:dyDescent="0.25">
      <c r="A329" s="126"/>
      <c r="B329" s="125"/>
      <c r="C329" s="124"/>
      <c r="D329" s="125"/>
      <c r="E329" s="124"/>
      <c r="F329" s="126"/>
      <c r="G329" s="126"/>
      <c r="H329" s="126"/>
      <c r="I329" s="125"/>
      <c r="J329" s="124"/>
      <c r="K329" s="153"/>
      <c r="L329" s="154"/>
      <c r="M329" s="155"/>
      <c r="N329" s="155"/>
      <c r="O329" s="155"/>
      <c r="P329" s="155"/>
      <c r="Q329" s="156"/>
      <c r="R329" s="155"/>
      <c r="S329" s="155"/>
      <c r="T329" s="155"/>
      <c r="U329" s="155"/>
      <c r="V329" s="155"/>
      <c r="W329" s="155"/>
    </row>
    <row r="330" spans="1:34" x14ac:dyDescent="0.25">
      <c r="A330" s="101"/>
      <c r="C330" s="103"/>
      <c r="D330" s="102"/>
      <c r="E330" s="103"/>
      <c r="F330" s="101"/>
      <c r="G330" s="101"/>
      <c r="H330" s="101"/>
      <c r="J330" s="103"/>
    </row>
    <row r="331" spans="1:34" x14ac:dyDescent="0.25">
      <c r="A331" s="101"/>
      <c r="C331" s="103"/>
      <c r="D331" s="102"/>
      <c r="E331" s="103"/>
      <c r="F331" s="101"/>
      <c r="G331" s="101"/>
      <c r="H331" s="101"/>
      <c r="J331" s="103"/>
    </row>
    <row r="332" spans="1:34" x14ac:dyDescent="0.25">
      <c r="A332" s="101"/>
      <c r="C332" s="103"/>
      <c r="D332" s="102"/>
      <c r="E332" s="103"/>
      <c r="F332" s="101"/>
      <c r="G332" s="101"/>
      <c r="H332" s="101"/>
      <c r="J332" s="103"/>
    </row>
    <row r="333" spans="1:34" x14ac:dyDescent="0.25">
      <c r="A333" s="101"/>
      <c r="C333" s="103"/>
      <c r="D333" s="102"/>
      <c r="E333" s="103"/>
      <c r="F333" s="101"/>
      <c r="G333" s="101"/>
      <c r="H333" s="101"/>
      <c r="J333" s="103"/>
    </row>
    <row r="334" spans="1:34" x14ac:dyDescent="0.25">
      <c r="A334" s="101"/>
      <c r="C334" s="103"/>
      <c r="D334" s="102"/>
      <c r="E334" s="103"/>
      <c r="F334" s="101"/>
      <c r="G334" s="101"/>
      <c r="H334" s="101"/>
      <c r="J334" s="103"/>
    </row>
    <row r="335" spans="1:34" x14ac:dyDescent="0.25">
      <c r="A335" s="101"/>
      <c r="C335" s="103"/>
      <c r="D335" s="102"/>
      <c r="E335" s="103"/>
      <c r="F335" s="101"/>
      <c r="G335" s="101"/>
      <c r="H335" s="101"/>
      <c r="J335" s="103"/>
    </row>
    <row r="336" spans="1:34" x14ac:dyDescent="0.25">
      <c r="A336" s="101"/>
      <c r="C336" s="103"/>
      <c r="D336" s="102"/>
      <c r="E336" s="103"/>
      <c r="F336" s="101"/>
      <c r="G336" s="101"/>
      <c r="H336" s="101"/>
      <c r="J336" s="103"/>
    </row>
    <row r="337" spans="1:10" x14ac:dyDescent="0.25">
      <c r="A337" s="101"/>
      <c r="C337" s="103"/>
      <c r="D337" s="102"/>
      <c r="E337" s="103"/>
      <c r="F337" s="101"/>
      <c r="G337" s="101"/>
      <c r="H337" s="101"/>
      <c r="J337" s="103"/>
    </row>
    <row r="338" spans="1:10" x14ac:dyDescent="0.25">
      <c r="A338" s="101"/>
      <c r="C338" s="103"/>
      <c r="D338" s="102"/>
      <c r="E338" s="103"/>
      <c r="F338" s="101"/>
      <c r="G338" s="101"/>
      <c r="H338" s="101"/>
      <c r="J338" s="103"/>
    </row>
    <row r="339" spans="1:10" x14ac:dyDescent="0.25">
      <c r="A339" s="101"/>
      <c r="C339" s="103"/>
      <c r="D339" s="102"/>
      <c r="E339" s="103"/>
      <c r="F339" s="101"/>
      <c r="G339" s="101"/>
      <c r="H339" s="101"/>
      <c r="J339" s="103"/>
    </row>
    <row r="340" spans="1:10" x14ac:dyDescent="0.25">
      <c r="A340" s="101"/>
      <c r="C340" s="103"/>
      <c r="D340" s="102"/>
      <c r="E340" s="103"/>
      <c r="F340" s="101"/>
      <c r="G340" s="101"/>
      <c r="H340" s="101"/>
      <c r="J340" s="103"/>
    </row>
    <row r="341" spans="1:10" x14ac:dyDescent="0.25">
      <c r="A341" s="101"/>
      <c r="C341" s="103"/>
      <c r="D341" s="102"/>
      <c r="E341" s="103"/>
      <c r="F341" s="101"/>
      <c r="G341" s="101"/>
      <c r="H341" s="101"/>
      <c r="J341" s="103"/>
    </row>
    <row r="342" spans="1:10" x14ac:dyDescent="0.25">
      <c r="A342" s="101"/>
      <c r="C342" s="103"/>
      <c r="D342" s="102"/>
      <c r="E342" s="103"/>
      <c r="F342" s="101"/>
      <c r="G342" s="101"/>
      <c r="H342" s="101"/>
      <c r="J342" s="103"/>
    </row>
    <row r="343" spans="1:10" x14ac:dyDescent="0.25">
      <c r="A343" s="101"/>
      <c r="C343" s="103"/>
      <c r="D343" s="102"/>
      <c r="E343" s="103"/>
      <c r="F343" s="101"/>
      <c r="G343" s="101"/>
      <c r="H343" s="101"/>
      <c r="J343" s="103"/>
    </row>
    <row r="344" spans="1:10" x14ac:dyDescent="0.25">
      <c r="A344" s="101"/>
      <c r="C344" s="103"/>
      <c r="D344" s="102"/>
      <c r="E344" s="103"/>
      <c r="F344" s="101"/>
      <c r="G344" s="101"/>
      <c r="H344" s="101"/>
      <c r="J344" s="103"/>
    </row>
    <row r="345" spans="1:10" x14ac:dyDescent="0.25">
      <c r="A345" s="101"/>
      <c r="C345" s="103"/>
      <c r="D345" s="102"/>
      <c r="E345" s="103"/>
      <c r="F345" s="101"/>
      <c r="G345" s="101"/>
      <c r="H345" s="101"/>
      <c r="J345" s="103"/>
    </row>
    <row r="346" spans="1:10" x14ac:dyDescent="0.25">
      <c r="A346" s="101"/>
      <c r="C346" s="103"/>
      <c r="D346" s="102"/>
      <c r="E346" s="103"/>
      <c r="F346" s="101"/>
      <c r="G346" s="101"/>
      <c r="H346" s="101"/>
      <c r="J346" s="103"/>
    </row>
    <row r="347" spans="1:10" x14ac:dyDescent="0.25">
      <c r="A347" s="101"/>
      <c r="C347" s="103"/>
      <c r="D347" s="102"/>
      <c r="E347" s="103"/>
      <c r="F347" s="101"/>
      <c r="G347" s="101"/>
      <c r="H347" s="101"/>
      <c r="J347" s="103"/>
    </row>
    <row r="348" spans="1:10" x14ac:dyDescent="0.25">
      <c r="A348" s="101"/>
      <c r="C348" s="103"/>
      <c r="D348" s="102"/>
      <c r="E348" s="103"/>
      <c r="F348" s="101"/>
      <c r="G348" s="101"/>
      <c r="H348" s="101"/>
      <c r="J348" s="103"/>
    </row>
    <row r="349" spans="1:10" x14ac:dyDescent="0.25">
      <c r="A349" s="101"/>
      <c r="C349" s="103"/>
      <c r="D349" s="102"/>
      <c r="E349" s="103"/>
      <c r="F349" s="101"/>
      <c r="G349" s="101"/>
      <c r="H349" s="101"/>
      <c r="J349" s="103"/>
    </row>
    <row r="350" spans="1:10" x14ac:dyDescent="0.25">
      <c r="A350" s="101"/>
      <c r="C350" s="103"/>
      <c r="D350" s="102"/>
      <c r="E350" s="103"/>
      <c r="F350" s="101"/>
      <c r="G350" s="101"/>
      <c r="H350" s="101"/>
      <c r="J350" s="103"/>
    </row>
    <row r="351" spans="1:10" x14ac:dyDescent="0.25">
      <c r="A351" s="101"/>
      <c r="C351" s="103"/>
      <c r="D351" s="102"/>
      <c r="E351" s="103"/>
      <c r="F351" s="101"/>
      <c r="G351" s="101"/>
      <c r="H351" s="101"/>
      <c r="J351" s="103"/>
    </row>
    <row r="352" spans="1:10" x14ac:dyDescent="0.25">
      <c r="A352" s="101"/>
      <c r="C352" s="103"/>
      <c r="D352" s="102"/>
      <c r="E352" s="103"/>
      <c r="F352" s="101"/>
      <c r="G352" s="101"/>
      <c r="H352" s="101"/>
      <c r="J352" s="103"/>
    </row>
    <row r="353" spans="1:10" x14ac:dyDescent="0.25">
      <c r="A353" s="101"/>
      <c r="C353" s="103"/>
      <c r="D353" s="102"/>
      <c r="E353" s="103"/>
      <c r="F353" s="101"/>
      <c r="G353" s="101"/>
      <c r="H353" s="101"/>
      <c r="J353" s="103"/>
    </row>
    <row r="354" spans="1:10" x14ac:dyDescent="0.25">
      <c r="A354" s="101"/>
      <c r="C354" s="103"/>
      <c r="D354" s="102"/>
      <c r="E354" s="103"/>
      <c r="F354" s="101"/>
      <c r="G354" s="101"/>
      <c r="H354" s="101"/>
      <c r="J354" s="103"/>
    </row>
    <row r="355" spans="1:10" x14ac:dyDescent="0.25">
      <c r="A355" s="101"/>
      <c r="C355" s="103"/>
      <c r="D355" s="102"/>
      <c r="E355" s="103"/>
      <c r="F355" s="101"/>
      <c r="G355" s="101"/>
      <c r="H355" s="101"/>
      <c r="J355" s="103"/>
    </row>
    <row r="356" spans="1:10" x14ac:dyDescent="0.25">
      <c r="A356" s="101"/>
      <c r="C356" s="103"/>
      <c r="D356" s="102"/>
      <c r="E356" s="103"/>
      <c r="F356" s="101"/>
      <c r="G356" s="101"/>
      <c r="H356" s="101"/>
      <c r="J356" s="103"/>
    </row>
    <row r="357" spans="1:10" x14ac:dyDescent="0.25">
      <c r="A357" s="101"/>
      <c r="C357" s="103"/>
      <c r="D357" s="102"/>
      <c r="E357" s="103"/>
      <c r="F357" s="101"/>
      <c r="G357" s="101"/>
      <c r="H357" s="101"/>
      <c r="J357" s="103"/>
    </row>
    <row r="358" spans="1:10" x14ac:dyDescent="0.25">
      <c r="A358" s="101"/>
      <c r="C358" s="103"/>
      <c r="D358" s="102"/>
      <c r="E358" s="103"/>
      <c r="F358" s="101"/>
      <c r="G358" s="101"/>
      <c r="H358" s="101"/>
      <c r="J358" s="103"/>
    </row>
    <row r="359" spans="1:10" x14ac:dyDescent="0.25">
      <c r="A359" s="101"/>
      <c r="C359" s="103"/>
      <c r="D359" s="102"/>
      <c r="E359" s="103"/>
      <c r="F359" s="101"/>
      <c r="G359" s="101"/>
      <c r="H359" s="101"/>
      <c r="J359" s="103"/>
    </row>
    <row r="360" spans="1:10" x14ac:dyDescent="0.25">
      <c r="A360" s="101"/>
      <c r="C360" s="103"/>
      <c r="D360" s="102"/>
      <c r="E360" s="103"/>
      <c r="F360" s="101"/>
      <c r="G360" s="101"/>
      <c r="H360" s="101"/>
      <c r="J360" s="103"/>
    </row>
    <row r="361" spans="1:10" x14ac:dyDescent="0.25">
      <c r="A361" s="101"/>
      <c r="C361" s="103"/>
      <c r="D361" s="102"/>
      <c r="E361" s="103"/>
      <c r="F361" s="101"/>
      <c r="G361" s="101"/>
      <c r="H361" s="101"/>
      <c r="J361" s="103"/>
    </row>
    <row r="362" spans="1:10" x14ac:dyDescent="0.25">
      <c r="A362" s="101"/>
      <c r="C362" s="103"/>
      <c r="D362" s="102"/>
      <c r="E362" s="103"/>
      <c r="F362" s="101"/>
      <c r="G362" s="101"/>
      <c r="H362" s="101"/>
      <c r="J362" s="103"/>
    </row>
    <row r="363" spans="1:10" x14ac:dyDescent="0.25">
      <c r="A363" s="101"/>
      <c r="C363" s="103"/>
      <c r="D363" s="102"/>
      <c r="E363" s="103"/>
      <c r="F363" s="101"/>
      <c r="G363" s="101"/>
      <c r="H363" s="101"/>
      <c r="J363" s="103"/>
    </row>
    <row r="364" spans="1:10" x14ac:dyDescent="0.25">
      <c r="A364" s="101"/>
      <c r="C364" s="103"/>
      <c r="D364" s="102"/>
      <c r="E364" s="103"/>
      <c r="F364" s="101"/>
      <c r="G364" s="101"/>
      <c r="H364" s="101"/>
      <c r="J364" s="103"/>
    </row>
    <row r="365" spans="1:10" x14ac:dyDescent="0.25">
      <c r="A365" s="101"/>
      <c r="C365" s="103"/>
      <c r="D365" s="102"/>
      <c r="E365" s="103"/>
      <c r="F365" s="101"/>
      <c r="G365" s="101"/>
      <c r="H365" s="101"/>
      <c r="J365" s="103"/>
    </row>
    <row r="366" spans="1:10" x14ac:dyDescent="0.25">
      <c r="A366" s="101"/>
      <c r="C366" s="103"/>
      <c r="D366" s="102"/>
      <c r="E366" s="103"/>
      <c r="F366" s="101"/>
      <c r="G366" s="101"/>
      <c r="H366" s="101"/>
      <c r="J366" s="103"/>
    </row>
    <row r="367" spans="1:10" x14ac:dyDescent="0.25">
      <c r="A367" s="101"/>
      <c r="C367" s="103"/>
      <c r="D367" s="102"/>
      <c r="E367" s="103"/>
      <c r="F367" s="101"/>
      <c r="G367" s="101"/>
      <c r="H367" s="101"/>
      <c r="J367" s="103"/>
    </row>
    <row r="368" spans="1:10" x14ac:dyDescent="0.25">
      <c r="A368" s="101"/>
      <c r="C368" s="103"/>
      <c r="D368" s="102"/>
      <c r="E368" s="103"/>
      <c r="F368" s="101"/>
      <c r="G368" s="101"/>
      <c r="H368" s="101"/>
      <c r="J368" s="103"/>
    </row>
    <row r="369" spans="1:10" x14ac:dyDescent="0.25">
      <c r="A369" s="101"/>
      <c r="C369" s="103"/>
      <c r="D369" s="102"/>
      <c r="E369" s="103"/>
      <c r="F369" s="101"/>
      <c r="G369" s="101"/>
      <c r="H369" s="101"/>
      <c r="J369" s="103"/>
    </row>
    <row r="370" spans="1:10" x14ac:dyDescent="0.25">
      <c r="A370" s="101"/>
      <c r="C370" s="103"/>
      <c r="D370" s="102"/>
      <c r="E370" s="103"/>
      <c r="F370" s="101"/>
      <c r="G370" s="101"/>
      <c r="H370" s="101"/>
      <c r="J370" s="103"/>
    </row>
    <row r="371" spans="1:10" x14ac:dyDescent="0.25">
      <c r="A371" s="101"/>
      <c r="C371" s="103"/>
      <c r="D371" s="102"/>
      <c r="E371" s="103"/>
      <c r="F371" s="101"/>
      <c r="G371" s="101"/>
      <c r="H371" s="101"/>
      <c r="J371" s="103"/>
    </row>
    <row r="372" spans="1:10" x14ac:dyDescent="0.25">
      <c r="A372" s="101"/>
      <c r="C372" s="103"/>
      <c r="D372" s="102"/>
      <c r="E372" s="103"/>
      <c r="F372" s="101"/>
      <c r="G372" s="101"/>
      <c r="H372" s="101"/>
      <c r="J372" s="103"/>
    </row>
    <row r="373" spans="1:10" x14ac:dyDescent="0.25">
      <c r="A373" s="101"/>
      <c r="C373" s="103"/>
      <c r="D373" s="102"/>
      <c r="E373" s="103"/>
      <c r="F373" s="101"/>
      <c r="G373" s="101"/>
      <c r="H373" s="101"/>
      <c r="J373" s="103"/>
    </row>
    <row r="374" spans="1:10" x14ac:dyDescent="0.25">
      <c r="A374" s="101"/>
      <c r="C374" s="103"/>
      <c r="D374" s="102"/>
      <c r="E374" s="103"/>
      <c r="F374" s="101"/>
      <c r="G374" s="101"/>
      <c r="H374" s="101"/>
      <c r="J374" s="103"/>
    </row>
    <row r="375" spans="1:10" x14ac:dyDescent="0.25">
      <c r="A375" s="101"/>
      <c r="C375" s="103"/>
      <c r="D375" s="102"/>
      <c r="E375" s="103"/>
      <c r="F375" s="101"/>
      <c r="G375" s="101"/>
      <c r="H375" s="101"/>
      <c r="J375" s="103"/>
    </row>
    <row r="376" spans="1:10" x14ac:dyDescent="0.25">
      <c r="A376" s="101"/>
      <c r="C376" s="103"/>
      <c r="D376" s="102"/>
      <c r="E376" s="103"/>
      <c r="F376" s="101"/>
      <c r="G376" s="101"/>
      <c r="H376" s="101"/>
      <c r="J376" s="103"/>
    </row>
    <row r="377" spans="1:10" x14ac:dyDescent="0.25">
      <c r="A377" s="101"/>
      <c r="C377" s="103"/>
      <c r="D377" s="102"/>
      <c r="E377" s="103"/>
      <c r="F377" s="101"/>
      <c r="G377" s="101"/>
      <c r="H377" s="101"/>
      <c r="J377" s="103"/>
    </row>
    <row r="378" spans="1:10" x14ac:dyDescent="0.25">
      <c r="A378" s="101"/>
      <c r="C378" s="103"/>
      <c r="D378" s="102"/>
      <c r="E378" s="103"/>
      <c r="F378" s="101"/>
      <c r="G378" s="101"/>
      <c r="H378" s="101"/>
      <c r="J378" s="103"/>
    </row>
    <row r="379" spans="1:10" x14ac:dyDescent="0.25">
      <c r="A379" s="101"/>
      <c r="C379" s="103"/>
      <c r="D379" s="102"/>
      <c r="E379" s="103"/>
      <c r="F379" s="101"/>
      <c r="G379" s="101"/>
      <c r="H379" s="101"/>
      <c r="J379" s="103"/>
    </row>
    <row r="380" spans="1:10" x14ac:dyDescent="0.25">
      <c r="A380" s="101"/>
      <c r="C380" s="103"/>
      <c r="D380" s="102"/>
      <c r="E380" s="103"/>
      <c r="F380" s="101"/>
      <c r="G380" s="101"/>
      <c r="H380" s="101"/>
      <c r="J380" s="103"/>
    </row>
    <row r="381" spans="1:10" x14ac:dyDescent="0.25">
      <c r="A381" s="101"/>
      <c r="C381" s="103"/>
      <c r="D381" s="102"/>
      <c r="E381" s="103"/>
      <c r="F381" s="101"/>
      <c r="G381" s="101"/>
      <c r="H381" s="101"/>
      <c r="J381" s="103"/>
    </row>
    <row r="382" spans="1:10" x14ac:dyDescent="0.25">
      <c r="A382" s="101"/>
      <c r="C382" s="103"/>
      <c r="D382" s="102"/>
      <c r="E382" s="103"/>
      <c r="F382" s="101"/>
      <c r="G382" s="101"/>
      <c r="H382" s="101"/>
      <c r="J382" s="103"/>
    </row>
    <row r="383" spans="1:10" x14ac:dyDescent="0.25">
      <c r="A383" s="101"/>
      <c r="C383" s="103"/>
      <c r="D383" s="102"/>
      <c r="E383" s="103"/>
      <c r="F383" s="101"/>
      <c r="G383" s="101"/>
      <c r="H383" s="101"/>
      <c r="J383" s="103"/>
    </row>
    <row r="384" spans="1:10" x14ac:dyDescent="0.25">
      <c r="A384" s="101"/>
      <c r="C384" s="103"/>
      <c r="D384" s="102"/>
      <c r="E384" s="103"/>
      <c r="F384" s="101"/>
      <c r="G384" s="101"/>
      <c r="H384" s="101"/>
      <c r="J384" s="103"/>
    </row>
    <row r="385" spans="1:10" x14ac:dyDescent="0.25">
      <c r="A385" s="101"/>
      <c r="C385" s="103"/>
      <c r="D385" s="102"/>
      <c r="E385" s="103"/>
      <c r="F385" s="101"/>
      <c r="G385" s="101"/>
      <c r="H385" s="101"/>
      <c r="J385" s="103"/>
    </row>
    <row r="386" spans="1:10" x14ac:dyDescent="0.25">
      <c r="A386" s="101"/>
      <c r="C386" s="103"/>
      <c r="D386" s="102"/>
      <c r="E386" s="103"/>
      <c r="F386" s="101"/>
      <c r="G386" s="101"/>
      <c r="H386" s="101"/>
      <c r="J386" s="103"/>
    </row>
    <row r="387" spans="1:10" x14ac:dyDescent="0.25">
      <c r="A387" s="101"/>
      <c r="C387" s="103"/>
      <c r="D387" s="102"/>
      <c r="E387" s="103"/>
      <c r="F387" s="101"/>
      <c r="G387" s="101"/>
      <c r="H387" s="101"/>
      <c r="J387" s="103"/>
    </row>
    <row r="388" spans="1:10" x14ac:dyDescent="0.25">
      <c r="A388" s="101"/>
      <c r="C388" s="103"/>
      <c r="D388" s="102"/>
      <c r="E388" s="103"/>
      <c r="F388" s="101"/>
      <c r="G388" s="101"/>
      <c r="H388" s="101"/>
      <c r="J388" s="103"/>
    </row>
    <row r="389" spans="1:10" x14ac:dyDescent="0.25">
      <c r="A389" s="101"/>
      <c r="C389" s="103"/>
      <c r="D389" s="102"/>
      <c r="E389" s="103"/>
      <c r="F389" s="101"/>
      <c r="G389" s="101"/>
      <c r="H389" s="101"/>
      <c r="J389" s="103"/>
    </row>
    <row r="390" spans="1:10" x14ac:dyDescent="0.25">
      <c r="A390" s="101"/>
      <c r="C390" s="103"/>
      <c r="D390" s="102"/>
      <c r="E390" s="103"/>
      <c r="F390" s="101"/>
      <c r="G390" s="101"/>
      <c r="H390" s="101"/>
      <c r="J390" s="103"/>
    </row>
    <row r="391" spans="1:10" x14ac:dyDescent="0.25">
      <c r="A391" s="101"/>
      <c r="C391" s="103"/>
      <c r="D391" s="102"/>
      <c r="E391" s="103"/>
      <c r="F391" s="101"/>
      <c r="G391" s="101"/>
      <c r="H391" s="101"/>
      <c r="J391" s="103"/>
    </row>
    <row r="392" spans="1:10" x14ac:dyDescent="0.25">
      <c r="A392" s="101"/>
      <c r="C392" s="103"/>
      <c r="D392" s="102"/>
      <c r="E392" s="103"/>
      <c r="F392" s="101"/>
      <c r="G392" s="101"/>
      <c r="H392" s="101"/>
      <c r="J392" s="103"/>
    </row>
    <row r="393" spans="1:10" x14ac:dyDescent="0.25">
      <c r="A393" s="101"/>
      <c r="C393" s="103"/>
      <c r="D393" s="102"/>
      <c r="E393" s="103"/>
      <c r="F393" s="101"/>
      <c r="G393" s="101"/>
      <c r="H393" s="101"/>
      <c r="J393" s="103"/>
    </row>
    <row r="394" spans="1:10" x14ac:dyDescent="0.25">
      <c r="A394" s="101"/>
      <c r="C394" s="103"/>
      <c r="D394" s="102"/>
      <c r="E394" s="103"/>
      <c r="F394" s="101"/>
      <c r="G394" s="101"/>
      <c r="H394" s="101"/>
      <c r="J394" s="103"/>
    </row>
    <row r="395" spans="1:10" x14ac:dyDescent="0.25">
      <c r="A395" s="101"/>
      <c r="C395" s="103"/>
      <c r="D395" s="102"/>
      <c r="E395" s="103"/>
      <c r="F395" s="101"/>
      <c r="G395" s="101"/>
      <c r="H395" s="101"/>
      <c r="J395" s="103"/>
    </row>
    <row r="396" spans="1:10" x14ac:dyDescent="0.25">
      <c r="A396" s="101"/>
      <c r="C396" s="103"/>
      <c r="D396" s="102"/>
      <c r="E396" s="103"/>
      <c r="F396" s="101"/>
      <c r="G396" s="101"/>
      <c r="H396" s="101"/>
      <c r="J396" s="103"/>
    </row>
    <row r="397" spans="1:10" x14ac:dyDescent="0.25">
      <c r="A397" s="101"/>
      <c r="C397" s="103"/>
      <c r="D397" s="102"/>
      <c r="E397" s="103"/>
      <c r="F397" s="101"/>
      <c r="G397" s="101"/>
      <c r="H397" s="101"/>
      <c r="J397" s="103"/>
    </row>
    <row r="398" spans="1:10" x14ac:dyDescent="0.25">
      <c r="A398" s="101"/>
      <c r="C398" s="103"/>
      <c r="D398" s="102"/>
      <c r="E398" s="103"/>
      <c r="F398" s="101"/>
      <c r="G398" s="101"/>
      <c r="H398" s="101"/>
      <c r="J398" s="103"/>
    </row>
    <row r="399" spans="1:10" x14ac:dyDescent="0.25">
      <c r="A399" s="101"/>
      <c r="C399" s="103"/>
      <c r="D399" s="102"/>
      <c r="E399" s="103"/>
      <c r="F399" s="101"/>
      <c r="G399" s="101"/>
      <c r="H399" s="101"/>
      <c r="J399" s="103"/>
    </row>
    <row r="400" spans="1:10" x14ac:dyDescent="0.25">
      <c r="A400" s="101"/>
      <c r="C400" s="103"/>
      <c r="D400" s="102"/>
      <c r="E400" s="103"/>
      <c r="F400" s="101"/>
      <c r="G400" s="101"/>
      <c r="H400" s="101"/>
      <c r="J400" s="103"/>
    </row>
    <row r="401" spans="1:10" x14ac:dyDescent="0.25">
      <c r="A401" s="101"/>
      <c r="C401" s="103"/>
      <c r="D401" s="102"/>
      <c r="E401" s="103"/>
      <c r="F401" s="101"/>
      <c r="G401" s="101"/>
      <c r="H401" s="101"/>
      <c r="J401" s="103"/>
    </row>
    <row r="402" spans="1:10" x14ac:dyDescent="0.25">
      <c r="A402" s="101"/>
      <c r="C402" s="103"/>
      <c r="D402" s="102"/>
      <c r="E402" s="103"/>
      <c r="F402" s="101"/>
      <c r="G402" s="101"/>
      <c r="H402" s="101"/>
      <c r="J402" s="103"/>
    </row>
    <row r="403" spans="1:10" x14ac:dyDescent="0.25">
      <c r="A403" s="101"/>
      <c r="C403" s="103"/>
      <c r="D403" s="102"/>
      <c r="E403" s="103"/>
      <c r="F403" s="101"/>
      <c r="G403" s="101"/>
      <c r="H403" s="101"/>
      <c r="J403" s="103"/>
    </row>
    <row r="404" spans="1:10" x14ac:dyDescent="0.25">
      <c r="A404" s="101"/>
      <c r="C404" s="103"/>
      <c r="D404" s="102"/>
      <c r="E404" s="103"/>
      <c r="F404" s="101"/>
      <c r="G404" s="101"/>
      <c r="H404" s="101"/>
      <c r="J404" s="103"/>
    </row>
    <row r="405" spans="1:10" x14ac:dyDescent="0.25">
      <c r="A405" s="101"/>
      <c r="C405" s="103"/>
      <c r="D405" s="102"/>
      <c r="E405" s="103"/>
      <c r="F405" s="101"/>
      <c r="G405" s="101"/>
      <c r="H405" s="101"/>
      <c r="J405" s="103"/>
    </row>
    <row r="406" spans="1:10" x14ac:dyDescent="0.25">
      <c r="A406" s="101"/>
      <c r="C406" s="103"/>
      <c r="D406" s="102"/>
      <c r="E406" s="103"/>
      <c r="F406" s="101"/>
      <c r="G406" s="101"/>
      <c r="H406" s="101"/>
      <c r="J406" s="103"/>
    </row>
    <row r="407" spans="1:10" x14ac:dyDescent="0.25">
      <c r="A407" s="101"/>
      <c r="C407" s="103"/>
      <c r="D407" s="102"/>
      <c r="E407" s="103"/>
      <c r="F407" s="101"/>
      <c r="G407" s="101"/>
      <c r="H407" s="101"/>
      <c r="J407" s="103"/>
    </row>
    <row r="408" spans="1:10" x14ac:dyDescent="0.25">
      <c r="A408" s="101"/>
      <c r="C408" s="103"/>
      <c r="D408" s="102"/>
      <c r="E408" s="103"/>
      <c r="F408" s="101"/>
      <c r="G408" s="101"/>
      <c r="H408" s="101"/>
      <c r="J408" s="103"/>
    </row>
    <row r="409" spans="1:10" x14ac:dyDescent="0.25">
      <c r="A409" s="101"/>
      <c r="C409" s="103"/>
      <c r="D409" s="102"/>
      <c r="E409" s="103"/>
      <c r="F409" s="101"/>
      <c r="G409" s="101"/>
      <c r="H409" s="101"/>
      <c r="J409" s="103"/>
    </row>
    <row r="410" spans="1:10" x14ac:dyDescent="0.25">
      <c r="A410" s="101"/>
      <c r="C410" s="103"/>
      <c r="D410" s="102"/>
      <c r="E410" s="103"/>
      <c r="F410" s="101"/>
      <c r="G410" s="101"/>
      <c r="H410" s="101"/>
      <c r="J410" s="103"/>
    </row>
    <row r="411" spans="1:10" x14ac:dyDescent="0.25">
      <c r="A411" s="101"/>
      <c r="C411" s="103"/>
      <c r="D411" s="102"/>
      <c r="E411" s="103"/>
      <c r="F411" s="101"/>
      <c r="G411" s="101"/>
      <c r="H411" s="101"/>
      <c r="J411" s="103"/>
    </row>
    <row r="412" spans="1:10" x14ac:dyDescent="0.25">
      <c r="A412" s="101"/>
      <c r="C412" s="103"/>
      <c r="D412" s="102"/>
      <c r="E412" s="103"/>
      <c r="F412" s="101"/>
      <c r="G412" s="101"/>
      <c r="H412" s="101"/>
      <c r="J412" s="103"/>
    </row>
    <row r="413" spans="1:10" x14ac:dyDescent="0.25">
      <c r="A413" s="101"/>
      <c r="C413" s="103"/>
      <c r="D413" s="102"/>
      <c r="E413" s="103"/>
      <c r="F413" s="101"/>
      <c r="G413" s="101"/>
      <c r="H413" s="101"/>
      <c r="J413" s="103"/>
    </row>
    <row r="414" spans="1:10" x14ac:dyDescent="0.25">
      <c r="A414" s="101"/>
      <c r="C414" s="103"/>
      <c r="D414" s="102"/>
      <c r="E414" s="103"/>
      <c r="F414" s="101"/>
      <c r="G414" s="101"/>
      <c r="H414" s="101"/>
      <c r="J414" s="103"/>
    </row>
    <row r="415" spans="1:10" x14ac:dyDescent="0.25">
      <c r="A415" s="101"/>
      <c r="C415" s="103"/>
      <c r="D415" s="102"/>
      <c r="E415" s="103"/>
      <c r="F415" s="101"/>
      <c r="G415" s="101"/>
      <c r="H415" s="101"/>
      <c r="J415" s="103"/>
    </row>
    <row r="416" spans="1:10" x14ac:dyDescent="0.25">
      <c r="A416" s="101"/>
      <c r="C416" s="103"/>
      <c r="D416" s="102"/>
      <c r="E416" s="103"/>
      <c r="F416" s="101"/>
      <c r="G416" s="101"/>
      <c r="H416" s="101"/>
      <c r="J416" s="103"/>
    </row>
    <row r="417" spans="1:10" x14ac:dyDescent="0.25">
      <c r="A417" s="101"/>
      <c r="C417" s="103"/>
      <c r="D417" s="102"/>
      <c r="E417" s="103"/>
      <c r="F417" s="101"/>
      <c r="G417" s="101"/>
      <c r="H417" s="101"/>
      <c r="J417" s="103"/>
    </row>
    <row r="418" spans="1:10" x14ac:dyDescent="0.25">
      <c r="A418" s="101"/>
      <c r="C418" s="103"/>
      <c r="D418" s="102"/>
      <c r="E418" s="103"/>
      <c r="F418" s="101"/>
      <c r="G418" s="101"/>
      <c r="H418" s="101"/>
      <c r="J418" s="103"/>
    </row>
    <row r="419" spans="1:10" x14ac:dyDescent="0.25">
      <c r="A419" s="101"/>
      <c r="C419" s="103"/>
      <c r="D419" s="102"/>
      <c r="E419" s="103"/>
      <c r="F419" s="101"/>
      <c r="G419" s="101"/>
      <c r="H419" s="101"/>
      <c r="J419" s="103"/>
    </row>
    <row r="420" spans="1:10" x14ac:dyDescent="0.25">
      <c r="A420" s="101"/>
      <c r="C420" s="103"/>
      <c r="D420" s="102"/>
      <c r="E420" s="103"/>
      <c r="F420" s="101"/>
      <c r="G420" s="101"/>
      <c r="H420" s="101"/>
      <c r="J420" s="103"/>
    </row>
    <row r="421" spans="1:10" x14ac:dyDescent="0.25">
      <c r="A421" s="101"/>
      <c r="C421" s="103"/>
      <c r="D421" s="102"/>
      <c r="E421" s="103"/>
      <c r="F421" s="101"/>
      <c r="G421" s="101"/>
      <c r="H421" s="101"/>
      <c r="J421" s="103"/>
    </row>
    <row r="422" spans="1:10" x14ac:dyDescent="0.25">
      <c r="A422" s="101"/>
      <c r="C422" s="103"/>
      <c r="D422" s="102"/>
      <c r="E422" s="103"/>
      <c r="F422" s="101"/>
      <c r="G422" s="101"/>
      <c r="H422" s="101"/>
      <c r="J422" s="103"/>
    </row>
    <row r="423" spans="1:10" x14ac:dyDescent="0.25">
      <c r="A423" s="101"/>
      <c r="C423" s="103"/>
      <c r="D423" s="102"/>
      <c r="E423" s="103"/>
      <c r="F423" s="101"/>
      <c r="G423" s="101"/>
      <c r="H423" s="101"/>
      <c r="J423" s="103"/>
    </row>
    <row r="424" spans="1:10" x14ac:dyDescent="0.25">
      <c r="A424" s="101"/>
      <c r="C424" s="103"/>
      <c r="D424" s="102"/>
      <c r="E424" s="103"/>
      <c r="F424" s="101"/>
      <c r="G424" s="101"/>
      <c r="H424" s="101"/>
      <c r="J424" s="103"/>
    </row>
    <row r="425" spans="1:10" x14ac:dyDescent="0.25">
      <c r="A425" s="101"/>
      <c r="C425" s="103"/>
      <c r="D425" s="102"/>
      <c r="E425" s="103"/>
      <c r="F425" s="101"/>
      <c r="G425" s="101"/>
      <c r="H425" s="101"/>
      <c r="J425" s="103"/>
    </row>
    <row r="426" spans="1:10" x14ac:dyDescent="0.25">
      <c r="A426" s="101"/>
      <c r="C426" s="103"/>
      <c r="D426" s="102"/>
      <c r="E426" s="103"/>
      <c r="F426" s="101"/>
      <c r="G426" s="101"/>
      <c r="H426" s="101"/>
      <c r="J426" s="103"/>
    </row>
    <row r="427" spans="1:10" x14ac:dyDescent="0.25">
      <c r="A427" s="101"/>
      <c r="C427" s="103"/>
      <c r="D427" s="102"/>
      <c r="E427" s="103"/>
      <c r="F427" s="101"/>
      <c r="G427" s="101"/>
      <c r="H427" s="101"/>
      <c r="J427" s="103"/>
    </row>
    <row r="428" spans="1:10" x14ac:dyDescent="0.25">
      <c r="A428" s="101"/>
      <c r="C428" s="103"/>
      <c r="D428" s="102"/>
      <c r="E428" s="103"/>
      <c r="F428" s="101"/>
      <c r="G428" s="101"/>
      <c r="H428" s="101"/>
      <c r="J428" s="103"/>
    </row>
    <row r="429" spans="1:10" x14ac:dyDescent="0.25">
      <c r="A429" s="101"/>
      <c r="C429" s="103"/>
      <c r="D429" s="102"/>
      <c r="E429" s="103"/>
      <c r="F429" s="101"/>
      <c r="G429" s="101"/>
      <c r="H429" s="101"/>
      <c r="J429" s="103"/>
    </row>
    <row r="430" spans="1:10" x14ac:dyDescent="0.25">
      <c r="A430" s="101"/>
      <c r="C430" s="103"/>
      <c r="D430" s="102"/>
      <c r="E430" s="103"/>
      <c r="F430" s="101"/>
      <c r="G430" s="101"/>
      <c r="H430" s="101"/>
      <c r="J430" s="103"/>
    </row>
    <row r="431" spans="1:10" x14ac:dyDescent="0.25">
      <c r="A431" s="101"/>
      <c r="C431" s="103"/>
      <c r="D431" s="102"/>
      <c r="E431" s="103"/>
      <c r="F431" s="101"/>
      <c r="G431" s="101"/>
      <c r="H431" s="101"/>
      <c r="J431" s="103"/>
    </row>
    <row r="432" spans="1:10" x14ac:dyDescent="0.25">
      <c r="A432" s="101"/>
      <c r="C432" s="103"/>
      <c r="D432" s="102"/>
      <c r="E432" s="103"/>
      <c r="F432" s="101"/>
      <c r="G432" s="101"/>
      <c r="H432" s="101"/>
      <c r="J432" s="103"/>
    </row>
    <row r="433" spans="1:10" x14ac:dyDescent="0.25">
      <c r="A433" s="101"/>
      <c r="C433" s="103"/>
      <c r="D433" s="102"/>
      <c r="E433" s="103"/>
      <c r="F433" s="101"/>
      <c r="G433" s="101"/>
      <c r="H433" s="101"/>
      <c r="J433" s="103"/>
    </row>
    <row r="434" spans="1:10" x14ac:dyDescent="0.25">
      <c r="A434" s="101"/>
      <c r="C434" s="103"/>
      <c r="D434" s="102"/>
      <c r="E434" s="103"/>
      <c r="F434" s="101"/>
      <c r="G434" s="101"/>
      <c r="H434" s="101"/>
      <c r="J434" s="103"/>
    </row>
    <row r="435" spans="1:10" x14ac:dyDescent="0.25">
      <c r="A435" s="101"/>
      <c r="C435" s="103"/>
      <c r="D435" s="102"/>
      <c r="E435" s="103"/>
      <c r="F435" s="101"/>
      <c r="G435" s="101"/>
      <c r="H435" s="101"/>
      <c r="J435" s="103"/>
    </row>
    <row r="436" spans="1:10" x14ac:dyDescent="0.25">
      <c r="A436" s="101"/>
      <c r="C436" s="103"/>
      <c r="D436" s="102"/>
      <c r="E436" s="103"/>
      <c r="F436" s="101"/>
      <c r="G436" s="101"/>
      <c r="H436" s="101"/>
      <c r="J436" s="103"/>
    </row>
    <row r="437" spans="1:10" x14ac:dyDescent="0.25">
      <c r="A437" s="101"/>
      <c r="C437" s="103"/>
      <c r="D437" s="102"/>
      <c r="E437" s="103"/>
      <c r="F437" s="101"/>
      <c r="G437" s="101"/>
      <c r="H437" s="101"/>
      <c r="J437" s="103"/>
    </row>
    <row r="438" spans="1:10" x14ac:dyDescent="0.25">
      <c r="A438" s="101"/>
      <c r="C438" s="103"/>
      <c r="D438" s="102"/>
      <c r="E438" s="103"/>
      <c r="F438" s="101"/>
      <c r="G438" s="101"/>
      <c r="H438" s="101"/>
      <c r="J438" s="103"/>
    </row>
    <row r="439" spans="1:10" x14ac:dyDescent="0.25">
      <c r="A439" s="101"/>
      <c r="C439" s="103"/>
      <c r="D439" s="102"/>
      <c r="E439" s="103"/>
      <c r="F439" s="101"/>
      <c r="G439" s="101"/>
      <c r="H439" s="101"/>
      <c r="J439" s="103"/>
    </row>
    <row r="440" spans="1:10" x14ac:dyDescent="0.25">
      <c r="A440" s="101"/>
      <c r="C440" s="103"/>
      <c r="D440" s="102"/>
      <c r="E440" s="103"/>
      <c r="F440" s="101"/>
      <c r="G440" s="101"/>
      <c r="H440" s="101"/>
      <c r="J440" s="103"/>
    </row>
    <row r="441" spans="1:10" x14ac:dyDescent="0.25">
      <c r="A441" s="101"/>
      <c r="C441" s="103"/>
      <c r="D441" s="102"/>
      <c r="E441" s="103"/>
      <c r="F441" s="101"/>
      <c r="G441" s="101"/>
      <c r="H441" s="101"/>
      <c r="J441" s="103"/>
    </row>
    <row r="442" spans="1:10" x14ac:dyDescent="0.25">
      <c r="A442" s="101"/>
      <c r="C442" s="103"/>
      <c r="D442" s="102"/>
      <c r="E442" s="103"/>
      <c r="F442" s="101"/>
      <c r="G442" s="101"/>
      <c r="H442" s="101"/>
      <c r="J442" s="103"/>
    </row>
    <row r="443" spans="1:10" x14ac:dyDescent="0.25">
      <c r="A443" s="101"/>
      <c r="C443" s="103"/>
      <c r="D443" s="102"/>
      <c r="E443" s="103"/>
      <c r="F443" s="101"/>
      <c r="G443" s="101"/>
      <c r="H443" s="101"/>
      <c r="J443" s="103"/>
    </row>
    <row r="444" spans="1:10" x14ac:dyDescent="0.25">
      <c r="A444" s="101"/>
      <c r="C444" s="103"/>
      <c r="D444" s="102"/>
      <c r="E444" s="103"/>
      <c r="F444" s="101"/>
      <c r="G444" s="101"/>
      <c r="H444" s="101"/>
      <c r="J444" s="103"/>
    </row>
    <row r="445" spans="1:10" x14ac:dyDescent="0.25">
      <c r="A445" s="101"/>
      <c r="C445" s="103"/>
      <c r="D445" s="102"/>
      <c r="E445" s="103"/>
      <c r="F445" s="101"/>
      <c r="G445" s="101"/>
      <c r="H445" s="101"/>
      <c r="J445" s="103"/>
    </row>
    <row r="446" spans="1:10" x14ac:dyDescent="0.25">
      <c r="A446" s="101"/>
      <c r="C446" s="103"/>
      <c r="D446" s="102"/>
      <c r="E446" s="103"/>
      <c r="F446" s="101"/>
      <c r="G446" s="101"/>
      <c r="H446" s="101"/>
      <c r="J446" s="103"/>
    </row>
    <row r="447" spans="1:10" x14ac:dyDescent="0.25">
      <c r="A447" s="101"/>
      <c r="C447" s="103"/>
      <c r="D447" s="102"/>
      <c r="E447" s="103"/>
      <c r="F447" s="101"/>
      <c r="G447" s="101"/>
      <c r="H447" s="101"/>
      <c r="J447" s="103"/>
    </row>
    <row r="448" spans="1:10" x14ac:dyDescent="0.25">
      <c r="A448" s="101"/>
      <c r="C448" s="103"/>
      <c r="D448" s="102"/>
      <c r="E448" s="103"/>
      <c r="F448" s="101"/>
      <c r="G448" s="101"/>
      <c r="H448" s="101"/>
      <c r="J448" s="103"/>
    </row>
    <row r="449" spans="1:10" x14ac:dyDescent="0.25">
      <c r="A449" s="101"/>
      <c r="C449" s="103"/>
      <c r="D449" s="102"/>
      <c r="E449" s="103"/>
      <c r="F449" s="101"/>
      <c r="G449" s="101"/>
      <c r="H449" s="101"/>
      <c r="J449" s="103"/>
    </row>
    <row r="450" spans="1:10" x14ac:dyDescent="0.25">
      <c r="A450" s="101"/>
      <c r="C450" s="103"/>
      <c r="D450" s="102"/>
      <c r="E450" s="103"/>
      <c r="F450" s="101"/>
      <c r="G450" s="101"/>
      <c r="H450" s="101"/>
      <c r="J450" s="103"/>
    </row>
    <row r="451" spans="1:10" x14ac:dyDescent="0.25">
      <c r="A451" s="101"/>
      <c r="C451" s="103"/>
      <c r="D451" s="102"/>
      <c r="E451" s="103"/>
      <c r="F451" s="101"/>
      <c r="G451" s="101"/>
      <c r="H451" s="101"/>
      <c r="J451" s="103"/>
    </row>
    <row r="452" spans="1:10" x14ac:dyDescent="0.25">
      <c r="A452" s="101"/>
      <c r="C452" s="103"/>
      <c r="D452" s="102"/>
      <c r="E452" s="103"/>
      <c r="F452" s="101"/>
      <c r="G452" s="101"/>
      <c r="H452" s="101"/>
      <c r="J452" s="103"/>
    </row>
    <row r="453" spans="1:10" x14ac:dyDescent="0.25">
      <c r="A453" s="101"/>
      <c r="C453" s="103"/>
      <c r="D453" s="102"/>
      <c r="E453" s="103"/>
      <c r="F453" s="101"/>
      <c r="G453" s="101"/>
      <c r="H453" s="101"/>
      <c r="J453" s="103"/>
    </row>
    <row r="454" spans="1:10" x14ac:dyDescent="0.25">
      <c r="A454" s="101"/>
      <c r="C454" s="103"/>
      <c r="D454" s="102"/>
      <c r="E454" s="103"/>
      <c r="F454" s="101"/>
      <c r="G454" s="101"/>
      <c r="H454" s="101"/>
      <c r="J454" s="103"/>
    </row>
    <row r="455" spans="1:10" x14ac:dyDescent="0.25">
      <c r="A455" s="101"/>
      <c r="C455" s="103"/>
      <c r="D455" s="102"/>
      <c r="E455" s="103"/>
      <c r="F455" s="101"/>
      <c r="G455" s="101"/>
      <c r="H455" s="101"/>
      <c r="J455" s="103"/>
    </row>
    <row r="456" spans="1:10" x14ac:dyDescent="0.25">
      <c r="A456" s="101"/>
      <c r="C456" s="103"/>
      <c r="D456" s="102"/>
      <c r="E456" s="103"/>
      <c r="F456" s="101"/>
      <c r="G456" s="101"/>
      <c r="H456" s="101"/>
      <c r="J456" s="103"/>
    </row>
    <row r="457" spans="1:10" x14ac:dyDescent="0.25">
      <c r="A457" s="101"/>
      <c r="C457" s="103"/>
      <c r="D457" s="102"/>
      <c r="E457" s="103"/>
      <c r="F457" s="101"/>
      <c r="G457" s="101"/>
      <c r="H457" s="101"/>
      <c r="J457" s="103"/>
    </row>
    <row r="458" spans="1:10" x14ac:dyDescent="0.25">
      <c r="A458" s="101"/>
      <c r="C458" s="103"/>
      <c r="D458" s="102"/>
      <c r="E458" s="103"/>
      <c r="F458" s="101"/>
      <c r="G458" s="101"/>
      <c r="H458" s="101"/>
      <c r="J458" s="103"/>
    </row>
    <row r="459" spans="1:10" x14ac:dyDescent="0.25">
      <c r="A459" s="101"/>
      <c r="C459" s="103"/>
      <c r="D459" s="102"/>
      <c r="E459" s="103"/>
      <c r="F459" s="101"/>
      <c r="G459" s="101"/>
      <c r="H459" s="101"/>
      <c r="J459" s="103"/>
    </row>
    <row r="460" spans="1:10" x14ac:dyDescent="0.25">
      <c r="A460" s="101"/>
      <c r="C460" s="103"/>
      <c r="D460" s="102"/>
      <c r="E460" s="103"/>
      <c r="F460" s="101"/>
      <c r="G460" s="101"/>
      <c r="H460" s="101"/>
      <c r="J460" s="103"/>
    </row>
    <row r="461" spans="1:10" x14ac:dyDescent="0.25">
      <c r="A461" s="101"/>
      <c r="C461" s="103"/>
      <c r="D461" s="102"/>
      <c r="E461" s="103"/>
      <c r="F461" s="101"/>
      <c r="G461" s="101"/>
      <c r="H461" s="101"/>
      <c r="J461" s="103"/>
    </row>
    <row r="462" spans="1:10" x14ac:dyDescent="0.25">
      <c r="A462" s="101"/>
      <c r="C462" s="103"/>
      <c r="D462" s="102"/>
      <c r="E462" s="103"/>
      <c r="F462" s="101"/>
      <c r="G462" s="101"/>
      <c r="H462" s="101"/>
      <c r="J462" s="103"/>
    </row>
    <row r="463" spans="1:10" x14ac:dyDescent="0.25">
      <c r="A463" s="101"/>
      <c r="C463" s="103"/>
      <c r="D463" s="102"/>
      <c r="E463" s="103"/>
      <c r="F463" s="101"/>
      <c r="G463" s="101"/>
      <c r="H463" s="101"/>
      <c r="J463" s="103"/>
    </row>
    <row r="464" spans="1:10" x14ac:dyDescent="0.25">
      <c r="A464" s="101"/>
      <c r="C464" s="103"/>
      <c r="D464" s="102"/>
      <c r="E464" s="103"/>
      <c r="F464" s="101"/>
      <c r="G464" s="101"/>
      <c r="H464" s="101"/>
      <c r="J464" s="103"/>
    </row>
    <row r="465" spans="1:10" x14ac:dyDescent="0.25">
      <c r="A465" s="101"/>
      <c r="C465" s="103"/>
      <c r="D465" s="102"/>
      <c r="E465" s="103"/>
      <c r="F465" s="101"/>
      <c r="G465" s="101"/>
      <c r="H465" s="101"/>
      <c r="J465" s="103"/>
    </row>
    <row r="466" spans="1:10" x14ac:dyDescent="0.25">
      <c r="A466" s="101"/>
      <c r="C466" s="103"/>
      <c r="D466" s="102"/>
      <c r="E466" s="103"/>
      <c r="F466" s="101"/>
      <c r="G466" s="101"/>
      <c r="H466" s="101"/>
      <c r="J466" s="103"/>
    </row>
    <row r="467" spans="1:10" x14ac:dyDescent="0.25">
      <c r="A467" s="101"/>
      <c r="C467" s="103"/>
      <c r="D467" s="102"/>
      <c r="E467" s="103"/>
      <c r="F467" s="101"/>
      <c r="G467" s="101"/>
      <c r="H467" s="101"/>
      <c r="J467" s="103"/>
    </row>
    <row r="468" spans="1:10" x14ac:dyDescent="0.25">
      <c r="A468" s="101"/>
      <c r="C468" s="103"/>
      <c r="D468" s="102"/>
      <c r="E468" s="103"/>
      <c r="F468" s="101"/>
      <c r="G468" s="101"/>
      <c r="H468" s="101"/>
      <c r="J468" s="103"/>
    </row>
    <row r="469" spans="1:10" x14ac:dyDescent="0.25">
      <c r="A469" s="101"/>
      <c r="C469" s="103"/>
      <c r="D469" s="102"/>
      <c r="E469" s="103"/>
      <c r="F469" s="101"/>
      <c r="G469" s="101"/>
      <c r="H469" s="101"/>
      <c r="J469" s="103"/>
    </row>
    <row r="470" spans="1:10" x14ac:dyDescent="0.25">
      <c r="A470" s="101"/>
      <c r="C470" s="103"/>
      <c r="D470" s="102"/>
      <c r="E470" s="103"/>
      <c r="F470" s="101"/>
      <c r="G470" s="101"/>
      <c r="H470" s="101"/>
      <c r="J470" s="103"/>
    </row>
    <row r="471" spans="1:10" x14ac:dyDescent="0.25">
      <c r="A471" s="101"/>
      <c r="C471" s="103"/>
      <c r="D471" s="102"/>
      <c r="E471" s="103"/>
      <c r="F471" s="101"/>
      <c r="G471" s="101"/>
      <c r="H471" s="101"/>
      <c r="J471" s="103"/>
    </row>
    <row r="472" spans="1:10" x14ac:dyDescent="0.25">
      <c r="A472" s="101"/>
      <c r="C472" s="103"/>
      <c r="D472" s="102"/>
      <c r="E472" s="103"/>
      <c r="F472" s="101"/>
      <c r="G472" s="101"/>
      <c r="H472" s="101"/>
      <c r="J472" s="103"/>
    </row>
    <row r="473" spans="1:10" x14ac:dyDescent="0.25">
      <c r="A473" s="101"/>
      <c r="C473" s="103"/>
      <c r="D473" s="102"/>
      <c r="E473" s="103"/>
      <c r="F473" s="101"/>
      <c r="G473" s="101"/>
      <c r="H473" s="101"/>
      <c r="J473" s="103"/>
    </row>
    <row r="474" spans="1:10" x14ac:dyDescent="0.25">
      <c r="A474" s="101"/>
      <c r="C474" s="103"/>
      <c r="D474" s="102"/>
      <c r="E474" s="103"/>
      <c r="F474" s="101"/>
      <c r="G474" s="101"/>
      <c r="H474" s="101"/>
      <c r="J474" s="103"/>
    </row>
    <row r="475" spans="1:10" x14ac:dyDescent="0.25">
      <c r="A475" s="101"/>
      <c r="C475" s="103"/>
      <c r="D475" s="102"/>
      <c r="E475" s="103"/>
      <c r="F475" s="101"/>
      <c r="G475" s="101"/>
      <c r="H475" s="101"/>
      <c r="J475" s="103"/>
    </row>
    <row r="476" spans="1:10" x14ac:dyDescent="0.25">
      <c r="A476" s="101"/>
      <c r="C476" s="103"/>
      <c r="D476" s="102"/>
      <c r="E476" s="103"/>
      <c r="F476" s="101"/>
      <c r="G476" s="101"/>
      <c r="H476" s="101"/>
      <c r="J476" s="103"/>
    </row>
    <row r="477" spans="1:10" x14ac:dyDescent="0.25">
      <c r="A477" s="101"/>
      <c r="C477" s="103"/>
      <c r="D477" s="102"/>
      <c r="E477" s="103"/>
      <c r="F477" s="101"/>
      <c r="G477" s="101"/>
      <c r="H477" s="101"/>
      <c r="J477" s="103"/>
    </row>
    <row r="478" spans="1:10" x14ac:dyDescent="0.25">
      <c r="A478" s="101"/>
      <c r="C478" s="103"/>
      <c r="D478" s="102"/>
      <c r="E478" s="103"/>
      <c r="F478" s="101"/>
      <c r="G478" s="101"/>
      <c r="H478" s="101"/>
      <c r="J478" s="103"/>
    </row>
    <row r="479" spans="1:10" x14ac:dyDescent="0.25">
      <c r="A479" s="101"/>
      <c r="C479" s="103"/>
      <c r="D479" s="102"/>
      <c r="E479" s="103"/>
      <c r="F479" s="101"/>
      <c r="G479" s="101"/>
      <c r="H479" s="101"/>
      <c r="J479" s="103"/>
    </row>
    <row r="480" spans="1:10" x14ac:dyDescent="0.25">
      <c r="A480" s="101"/>
      <c r="C480" s="103"/>
      <c r="D480" s="102"/>
      <c r="E480" s="103"/>
      <c r="F480" s="101"/>
      <c r="G480" s="101"/>
      <c r="H480" s="101"/>
      <c r="J480" s="103"/>
    </row>
    <row r="481" spans="1:10" x14ac:dyDescent="0.25">
      <c r="A481" s="101"/>
      <c r="C481" s="103"/>
      <c r="D481" s="102"/>
      <c r="E481" s="103"/>
      <c r="F481" s="101"/>
      <c r="G481" s="101"/>
      <c r="H481" s="101"/>
      <c r="J481" s="103"/>
    </row>
    <row r="482" spans="1:10" x14ac:dyDescent="0.25">
      <c r="A482" s="101"/>
      <c r="C482" s="103"/>
      <c r="D482" s="102"/>
      <c r="E482" s="103"/>
      <c r="F482" s="101"/>
      <c r="G482" s="101"/>
      <c r="H482" s="101"/>
      <c r="J482" s="103"/>
    </row>
    <row r="483" spans="1:10" x14ac:dyDescent="0.25">
      <c r="A483" s="101"/>
      <c r="C483" s="103"/>
      <c r="D483" s="102"/>
      <c r="E483" s="103"/>
      <c r="F483" s="101"/>
      <c r="G483" s="101"/>
      <c r="H483" s="101"/>
      <c r="J483" s="103"/>
    </row>
    <row r="484" spans="1:10" x14ac:dyDescent="0.25">
      <c r="A484" s="101"/>
      <c r="C484" s="103"/>
      <c r="D484" s="102"/>
      <c r="E484" s="103"/>
      <c r="F484" s="101"/>
      <c r="G484" s="101"/>
      <c r="H484" s="101"/>
      <c r="J484" s="103"/>
    </row>
    <row r="485" spans="1:10" x14ac:dyDescent="0.25">
      <c r="A485" s="101"/>
      <c r="C485" s="103"/>
      <c r="D485" s="102"/>
      <c r="E485" s="103"/>
      <c r="F485" s="101"/>
      <c r="G485" s="101"/>
      <c r="H485" s="101"/>
      <c r="J485" s="103"/>
    </row>
    <row r="486" spans="1:10" x14ac:dyDescent="0.25">
      <c r="A486" s="101"/>
      <c r="C486" s="103"/>
      <c r="D486" s="102"/>
      <c r="E486" s="103"/>
      <c r="F486" s="101"/>
      <c r="G486" s="101"/>
      <c r="H486" s="101"/>
      <c r="J486" s="103"/>
    </row>
    <row r="487" spans="1:10" x14ac:dyDescent="0.25">
      <c r="A487" s="101"/>
      <c r="C487" s="103"/>
      <c r="D487" s="102"/>
      <c r="E487" s="103"/>
      <c r="F487" s="101"/>
      <c r="G487" s="101"/>
      <c r="H487" s="101"/>
      <c r="J487" s="103"/>
    </row>
    <row r="488" spans="1:10" x14ac:dyDescent="0.25">
      <c r="A488" s="101"/>
      <c r="C488" s="103"/>
      <c r="D488" s="102"/>
      <c r="E488" s="103"/>
      <c r="F488" s="101"/>
      <c r="G488" s="101"/>
      <c r="H488" s="101"/>
      <c r="J488" s="103"/>
    </row>
    <row r="489" spans="1:10" x14ac:dyDescent="0.25">
      <c r="A489" s="101"/>
      <c r="C489" s="103"/>
      <c r="D489" s="102"/>
      <c r="E489" s="103"/>
      <c r="F489" s="101"/>
      <c r="G489" s="101"/>
      <c r="H489" s="101"/>
      <c r="J489" s="103"/>
    </row>
    <row r="490" spans="1:10" x14ac:dyDescent="0.25">
      <c r="A490" s="101"/>
      <c r="C490" s="103"/>
      <c r="D490" s="102"/>
      <c r="E490" s="103"/>
      <c r="F490" s="101"/>
      <c r="G490" s="101"/>
      <c r="H490" s="101"/>
      <c r="J490" s="103"/>
    </row>
    <row r="491" spans="1:10" x14ac:dyDescent="0.25">
      <c r="A491" s="101"/>
      <c r="C491" s="103"/>
      <c r="D491" s="102"/>
      <c r="E491" s="103"/>
      <c r="F491" s="101"/>
      <c r="G491" s="101"/>
      <c r="H491" s="101"/>
      <c r="J491" s="103"/>
    </row>
    <row r="492" spans="1:10" x14ac:dyDescent="0.25">
      <c r="A492" s="101"/>
      <c r="C492" s="103"/>
      <c r="D492" s="102"/>
      <c r="E492" s="103"/>
      <c r="F492" s="101"/>
      <c r="G492" s="101"/>
      <c r="H492" s="101"/>
      <c r="J492" s="103"/>
    </row>
    <row r="493" spans="1:10" x14ac:dyDescent="0.25">
      <c r="A493" s="101"/>
      <c r="C493" s="103"/>
      <c r="D493" s="102"/>
      <c r="E493" s="103"/>
      <c r="F493" s="101"/>
      <c r="G493" s="101"/>
      <c r="H493" s="101"/>
      <c r="J493" s="103"/>
    </row>
    <row r="494" spans="1:10" x14ac:dyDescent="0.25">
      <c r="A494" s="101"/>
      <c r="C494" s="103"/>
      <c r="D494" s="102"/>
      <c r="E494" s="103"/>
      <c r="F494" s="101"/>
      <c r="G494" s="101"/>
      <c r="H494" s="101"/>
      <c r="J494" s="103"/>
    </row>
    <row r="495" spans="1:10" x14ac:dyDescent="0.25">
      <c r="A495" s="101"/>
      <c r="C495" s="103"/>
      <c r="D495" s="102"/>
      <c r="E495" s="103"/>
      <c r="F495" s="101"/>
      <c r="G495" s="101"/>
      <c r="H495" s="101"/>
      <c r="J495" s="103"/>
    </row>
    <row r="496" spans="1:10" x14ac:dyDescent="0.25">
      <c r="A496" s="101"/>
      <c r="C496" s="103"/>
      <c r="D496" s="102"/>
      <c r="E496" s="103"/>
      <c r="F496" s="101"/>
      <c r="G496" s="101"/>
      <c r="H496" s="101"/>
      <c r="J496" s="103"/>
    </row>
    <row r="497" spans="1:10" x14ac:dyDescent="0.25">
      <c r="A497" s="101"/>
      <c r="C497" s="103"/>
      <c r="D497" s="102"/>
      <c r="E497" s="103"/>
      <c r="F497" s="101"/>
      <c r="G497" s="101"/>
      <c r="H497" s="101"/>
      <c r="J497" s="103"/>
    </row>
    <row r="498" spans="1:10" x14ac:dyDescent="0.25">
      <c r="A498" s="101"/>
      <c r="C498" s="103"/>
      <c r="D498" s="102"/>
      <c r="E498" s="103"/>
      <c r="F498" s="101"/>
      <c r="G498" s="101"/>
      <c r="H498" s="101"/>
      <c r="J498" s="103"/>
    </row>
    <row r="499" spans="1:10" x14ac:dyDescent="0.25">
      <c r="A499" s="101"/>
      <c r="C499" s="103"/>
      <c r="D499" s="102"/>
      <c r="E499" s="103"/>
      <c r="F499" s="101"/>
      <c r="G499" s="101"/>
      <c r="H499" s="101"/>
      <c r="J499" s="103"/>
    </row>
    <row r="500" spans="1:10" x14ac:dyDescent="0.25">
      <c r="A500" s="101"/>
      <c r="C500" s="103"/>
      <c r="D500" s="102"/>
      <c r="E500" s="103"/>
      <c r="F500" s="101"/>
      <c r="G500" s="101"/>
      <c r="H500" s="101"/>
      <c r="J500" s="103"/>
    </row>
    <row r="501" spans="1:10" x14ac:dyDescent="0.25">
      <c r="A501" s="101"/>
      <c r="C501" s="103"/>
      <c r="D501" s="102"/>
      <c r="E501" s="103"/>
      <c r="F501" s="101"/>
      <c r="G501" s="101"/>
      <c r="H501" s="101"/>
      <c r="J501" s="103"/>
    </row>
    <row r="502" spans="1:10" x14ac:dyDescent="0.25">
      <c r="A502" s="101"/>
      <c r="C502" s="103"/>
      <c r="D502" s="102"/>
      <c r="E502" s="103"/>
      <c r="F502" s="101"/>
      <c r="G502" s="101"/>
      <c r="H502" s="101"/>
      <c r="J502" s="103"/>
    </row>
    <row r="503" spans="1:10" x14ac:dyDescent="0.25">
      <c r="A503" s="101"/>
      <c r="C503" s="103"/>
      <c r="D503" s="102"/>
      <c r="E503" s="103"/>
      <c r="F503" s="101"/>
      <c r="G503" s="101"/>
      <c r="H503" s="101"/>
      <c r="J503" s="103"/>
    </row>
    <row r="504" spans="1:10" x14ac:dyDescent="0.25">
      <c r="A504" s="101"/>
      <c r="C504" s="103"/>
      <c r="D504" s="102"/>
      <c r="E504" s="103"/>
      <c r="F504" s="101"/>
      <c r="G504" s="101"/>
      <c r="H504" s="101"/>
      <c r="J504" s="103"/>
    </row>
    <row r="505" spans="1:10" x14ac:dyDescent="0.25">
      <c r="A505" s="101"/>
      <c r="C505" s="103"/>
      <c r="D505" s="102"/>
      <c r="E505" s="103"/>
      <c r="F505" s="101"/>
      <c r="G505" s="101"/>
      <c r="H505" s="101"/>
      <c r="J505" s="103"/>
    </row>
    <row r="506" spans="1:10" x14ac:dyDescent="0.25">
      <c r="A506" s="101"/>
      <c r="C506" s="103"/>
      <c r="D506" s="102"/>
      <c r="E506" s="103"/>
      <c r="F506" s="101"/>
      <c r="G506" s="101"/>
      <c r="H506" s="101"/>
      <c r="J506" s="103"/>
    </row>
    <row r="507" spans="1:10" x14ac:dyDescent="0.25">
      <c r="A507" s="101"/>
      <c r="C507" s="103"/>
      <c r="D507" s="102"/>
      <c r="E507" s="103"/>
      <c r="F507" s="101"/>
      <c r="G507" s="101"/>
      <c r="H507" s="101"/>
      <c r="J507" s="103"/>
    </row>
    <row r="508" spans="1:10" x14ac:dyDescent="0.25">
      <c r="A508" s="101"/>
      <c r="C508" s="103"/>
      <c r="D508" s="102"/>
      <c r="E508" s="103"/>
      <c r="F508" s="101"/>
      <c r="G508" s="101"/>
      <c r="H508" s="101"/>
      <c r="J508" s="103"/>
    </row>
    <row r="509" spans="1:10" x14ac:dyDescent="0.25">
      <c r="A509" s="101"/>
      <c r="C509" s="103"/>
      <c r="D509" s="102"/>
      <c r="E509" s="103"/>
      <c r="F509" s="101"/>
      <c r="G509" s="101"/>
      <c r="H509" s="101"/>
      <c r="J509" s="103"/>
    </row>
    <row r="510" spans="1:10" x14ac:dyDescent="0.25">
      <c r="A510" s="101"/>
      <c r="C510" s="103"/>
      <c r="D510" s="102"/>
      <c r="E510" s="103"/>
      <c r="F510" s="101"/>
      <c r="G510" s="101"/>
      <c r="H510" s="101"/>
      <c r="J510" s="103"/>
    </row>
    <row r="511" spans="1:10" x14ac:dyDescent="0.25">
      <c r="A511" s="101"/>
      <c r="C511" s="103"/>
      <c r="D511" s="102"/>
      <c r="E511" s="103"/>
      <c r="F511" s="101"/>
      <c r="G511" s="101"/>
      <c r="H511" s="101"/>
      <c r="J511" s="103"/>
    </row>
    <row r="512" spans="1:10" x14ac:dyDescent="0.25">
      <c r="A512" s="101"/>
      <c r="C512" s="103"/>
      <c r="D512" s="102"/>
      <c r="E512" s="103"/>
      <c r="F512" s="101"/>
      <c r="G512" s="101"/>
      <c r="H512" s="101"/>
      <c r="J512" s="103"/>
    </row>
    <row r="513" spans="1:10" x14ac:dyDescent="0.25">
      <c r="A513" s="101"/>
      <c r="C513" s="103"/>
      <c r="D513" s="102"/>
      <c r="E513" s="103"/>
      <c r="F513" s="101"/>
      <c r="G513" s="101"/>
      <c r="H513" s="101"/>
      <c r="J513" s="103"/>
    </row>
    <row r="514" spans="1:10" x14ac:dyDescent="0.25">
      <c r="A514" s="101"/>
      <c r="C514" s="103"/>
      <c r="D514" s="102"/>
      <c r="E514" s="103"/>
      <c r="F514" s="101"/>
      <c r="G514" s="101"/>
      <c r="H514" s="101"/>
      <c r="J514" s="103"/>
    </row>
    <row r="515" spans="1:10" x14ac:dyDescent="0.25">
      <c r="A515" s="101"/>
      <c r="C515" s="103"/>
      <c r="D515" s="102"/>
      <c r="E515" s="103"/>
      <c r="F515" s="101"/>
      <c r="G515" s="101"/>
      <c r="H515" s="101"/>
      <c r="J515" s="103"/>
    </row>
    <row r="516" spans="1:10" x14ac:dyDescent="0.25">
      <c r="A516" s="101"/>
      <c r="C516" s="103"/>
      <c r="D516" s="102"/>
      <c r="E516" s="103"/>
      <c r="F516" s="101"/>
      <c r="G516" s="101"/>
      <c r="H516" s="101"/>
      <c r="J516" s="103"/>
    </row>
    <row r="517" spans="1:10" x14ac:dyDescent="0.25">
      <c r="A517" s="101"/>
      <c r="C517" s="103"/>
      <c r="D517" s="102"/>
      <c r="E517" s="103"/>
      <c r="F517" s="101"/>
      <c r="G517" s="101"/>
      <c r="H517" s="101"/>
      <c r="J517" s="103"/>
    </row>
    <row r="518" spans="1:10" x14ac:dyDescent="0.25">
      <c r="A518" s="101"/>
      <c r="C518" s="103"/>
      <c r="D518" s="102"/>
      <c r="E518" s="103"/>
      <c r="F518" s="101"/>
      <c r="G518" s="101"/>
      <c r="H518" s="101"/>
      <c r="J518" s="103"/>
    </row>
    <row r="519" spans="1:10" x14ac:dyDescent="0.25">
      <c r="A519" s="101"/>
      <c r="C519" s="103"/>
      <c r="D519" s="102"/>
      <c r="E519" s="103"/>
      <c r="F519" s="101"/>
      <c r="G519" s="101"/>
      <c r="H519" s="101"/>
      <c r="J519" s="103"/>
    </row>
    <row r="520" spans="1:10" x14ac:dyDescent="0.25">
      <c r="A520" s="101"/>
      <c r="C520" s="103"/>
      <c r="D520" s="102"/>
      <c r="E520" s="103"/>
      <c r="F520" s="101"/>
      <c r="G520" s="101"/>
      <c r="H520" s="101"/>
      <c r="J520" s="103"/>
    </row>
    <row r="521" spans="1:10" x14ac:dyDescent="0.25">
      <c r="A521" s="101"/>
      <c r="C521" s="103"/>
      <c r="D521" s="102"/>
      <c r="E521" s="103"/>
      <c r="F521" s="101"/>
      <c r="G521" s="101"/>
      <c r="H521" s="101"/>
      <c r="J521" s="103"/>
    </row>
    <row r="522" spans="1:10" x14ac:dyDescent="0.25">
      <c r="A522" s="101"/>
      <c r="C522" s="103"/>
      <c r="D522" s="102"/>
      <c r="E522" s="103"/>
      <c r="F522" s="101"/>
      <c r="G522" s="101"/>
      <c r="H522" s="101"/>
      <c r="J522" s="103"/>
    </row>
    <row r="523" spans="1:10" x14ac:dyDescent="0.25">
      <c r="A523" s="101"/>
      <c r="C523" s="103"/>
      <c r="D523" s="102"/>
      <c r="E523" s="103"/>
      <c r="F523" s="101"/>
      <c r="G523" s="101"/>
      <c r="H523" s="101"/>
      <c r="J523" s="103"/>
    </row>
    <row r="524" spans="1:10" x14ac:dyDescent="0.25">
      <c r="A524" s="101"/>
      <c r="C524" s="103"/>
      <c r="D524" s="102"/>
      <c r="E524" s="103"/>
      <c r="F524" s="101"/>
      <c r="G524" s="101"/>
      <c r="H524" s="101"/>
      <c r="J524" s="103"/>
    </row>
    <row r="525" spans="1:10" x14ac:dyDescent="0.25">
      <c r="A525" s="101"/>
      <c r="C525" s="103"/>
      <c r="D525" s="102"/>
      <c r="E525" s="103"/>
      <c r="F525" s="101"/>
      <c r="G525" s="101"/>
      <c r="H525" s="101"/>
      <c r="J525" s="103"/>
    </row>
    <row r="526" spans="1:10" x14ac:dyDescent="0.25">
      <c r="A526" s="101"/>
      <c r="C526" s="103"/>
      <c r="D526" s="102"/>
      <c r="E526" s="103"/>
      <c r="F526" s="101"/>
      <c r="G526" s="101"/>
      <c r="H526" s="101"/>
      <c r="J526" s="103"/>
    </row>
    <row r="527" spans="1:10" x14ac:dyDescent="0.25">
      <c r="A527" s="101"/>
      <c r="C527" s="103"/>
      <c r="D527" s="102"/>
      <c r="E527" s="103"/>
      <c r="F527" s="101"/>
      <c r="G527" s="101"/>
      <c r="H527" s="101"/>
      <c r="J527" s="103"/>
    </row>
    <row r="528" spans="1:10" x14ac:dyDescent="0.25">
      <c r="A528" s="101"/>
      <c r="C528" s="103"/>
      <c r="D528" s="102"/>
      <c r="E528" s="103"/>
      <c r="F528" s="101"/>
      <c r="G528" s="101"/>
      <c r="H528" s="101"/>
      <c r="J528" s="103"/>
    </row>
    <row r="529" spans="1:10" x14ac:dyDescent="0.25">
      <c r="A529" s="101"/>
      <c r="C529" s="103"/>
      <c r="D529" s="102"/>
      <c r="E529" s="103"/>
      <c r="F529" s="101"/>
      <c r="G529" s="101"/>
      <c r="H529" s="101"/>
      <c r="J529" s="103"/>
    </row>
    <row r="530" spans="1:10" x14ac:dyDescent="0.25">
      <c r="A530" s="101"/>
      <c r="C530" s="103"/>
      <c r="D530" s="102"/>
      <c r="E530" s="103"/>
      <c r="F530" s="101"/>
      <c r="G530" s="101"/>
      <c r="H530" s="101"/>
      <c r="J530" s="103"/>
    </row>
    <row r="531" spans="1:10" x14ac:dyDescent="0.25">
      <c r="A531" s="101"/>
      <c r="C531" s="103"/>
      <c r="D531" s="102"/>
      <c r="E531" s="103"/>
      <c r="F531" s="101"/>
      <c r="G531" s="101"/>
      <c r="H531" s="101"/>
      <c r="J531" s="103"/>
    </row>
    <row r="532" spans="1:10" x14ac:dyDescent="0.25">
      <c r="A532" s="101"/>
      <c r="C532" s="103"/>
      <c r="D532" s="102"/>
      <c r="E532" s="103"/>
      <c r="F532" s="101"/>
      <c r="G532" s="101"/>
      <c r="H532" s="101"/>
      <c r="J532" s="103"/>
    </row>
    <row r="533" spans="1:10" x14ac:dyDescent="0.25">
      <c r="A533" s="101"/>
      <c r="C533" s="103"/>
      <c r="D533" s="102"/>
      <c r="E533" s="103"/>
      <c r="F533" s="101"/>
      <c r="G533" s="101"/>
      <c r="H533" s="101"/>
      <c r="J533" s="103"/>
    </row>
    <row r="534" spans="1:10" x14ac:dyDescent="0.25">
      <c r="A534" s="101"/>
      <c r="C534" s="103"/>
      <c r="D534" s="102"/>
      <c r="E534" s="103"/>
      <c r="F534" s="101"/>
      <c r="G534" s="101"/>
      <c r="H534" s="101"/>
      <c r="J534" s="103"/>
    </row>
    <row r="535" spans="1:10" x14ac:dyDescent="0.25">
      <c r="A535" s="101"/>
      <c r="C535" s="103"/>
      <c r="D535" s="102"/>
      <c r="E535" s="103"/>
      <c r="F535" s="101"/>
      <c r="G535" s="101"/>
      <c r="H535" s="101"/>
      <c r="J535" s="103"/>
    </row>
    <row r="536" spans="1:10" x14ac:dyDescent="0.25">
      <c r="A536" s="101"/>
      <c r="C536" s="103"/>
      <c r="D536" s="102"/>
      <c r="E536" s="103"/>
      <c r="F536" s="101"/>
      <c r="G536" s="101"/>
      <c r="H536" s="101"/>
      <c r="J536" s="103"/>
    </row>
    <row r="537" spans="1:10" x14ac:dyDescent="0.25">
      <c r="A537" s="101"/>
      <c r="C537" s="103"/>
      <c r="D537" s="102"/>
      <c r="E537" s="103"/>
      <c r="F537" s="101"/>
      <c r="G537" s="101"/>
      <c r="H537" s="101"/>
      <c r="J537" s="103"/>
    </row>
    <row r="538" spans="1:10" x14ac:dyDescent="0.25">
      <c r="A538" s="101"/>
      <c r="C538" s="103"/>
      <c r="D538" s="102"/>
      <c r="E538" s="103"/>
      <c r="F538" s="101"/>
      <c r="G538" s="101"/>
      <c r="H538" s="101"/>
      <c r="J538" s="103"/>
    </row>
    <row r="539" spans="1:10" x14ac:dyDescent="0.25">
      <c r="A539" s="101"/>
      <c r="C539" s="103"/>
      <c r="D539" s="102"/>
      <c r="E539" s="103"/>
      <c r="F539" s="101"/>
      <c r="G539" s="101"/>
      <c r="H539" s="101"/>
      <c r="J539" s="103"/>
    </row>
    <row r="540" spans="1:10" x14ac:dyDescent="0.25">
      <c r="A540" s="101"/>
      <c r="C540" s="103"/>
      <c r="D540" s="102"/>
      <c r="E540" s="103"/>
      <c r="F540" s="101"/>
      <c r="G540" s="101"/>
      <c r="H540" s="101"/>
      <c r="J540" s="103"/>
    </row>
    <row r="541" spans="1:10" x14ac:dyDescent="0.25">
      <c r="A541" s="101"/>
      <c r="C541" s="103"/>
      <c r="D541" s="102"/>
      <c r="E541" s="103"/>
      <c r="F541" s="101"/>
      <c r="G541" s="101"/>
      <c r="H541" s="101"/>
      <c r="J541" s="103"/>
    </row>
    <row r="542" spans="1:10" x14ac:dyDescent="0.25">
      <c r="A542" s="101"/>
      <c r="C542" s="103"/>
      <c r="D542" s="102"/>
      <c r="E542" s="103"/>
      <c r="F542" s="101"/>
      <c r="G542" s="101"/>
      <c r="H542" s="101"/>
      <c r="J542" s="103"/>
    </row>
    <row r="543" spans="1:10" x14ac:dyDescent="0.25">
      <c r="A543" s="101"/>
      <c r="C543" s="103"/>
      <c r="D543" s="102"/>
      <c r="E543" s="103"/>
      <c r="F543" s="101"/>
      <c r="G543" s="101"/>
      <c r="H543" s="101"/>
      <c r="J543" s="103"/>
    </row>
    <row r="544" spans="1:10" x14ac:dyDescent="0.25">
      <c r="A544" s="101"/>
      <c r="C544" s="103"/>
      <c r="D544" s="102"/>
      <c r="E544" s="103"/>
      <c r="F544" s="101"/>
      <c r="G544" s="101"/>
      <c r="H544" s="101"/>
      <c r="J544" s="103"/>
    </row>
    <row r="545" spans="1:10" x14ac:dyDescent="0.25">
      <c r="A545" s="101"/>
      <c r="C545" s="103"/>
      <c r="D545" s="102"/>
      <c r="E545" s="103"/>
      <c r="F545" s="101"/>
      <c r="G545" s="101"/>
      <c r="H545" s="101"/>
      <c r="J545" s="103"/>
    </row>
    <row r="546" spans="1:10" x14ac:dyDescent="0.25">
      <c r="A546" s="101"/>
      <c r="C546" s="103"/>
      <c r="D546" s="102"/>
      <c r="E546" s="103"/>
      <c r="F546" s="101"/>
      <c r="G546" s="101"/>
      <c r="H546" s="101"/>
      <c r="J546" s="103"/>
    </row>
    <row r="547" spans="1:10" x14ac:dyDescent="0.25">
      <c r="A547" s="101"/>
      <c r="C547" s="103"/>
      <c r="D547" s="102"/>
      <c r="E547" s="103"/>
      <c r="F547" s="101"/>
      <c r="G547" s="101"/>
      <c r="H547" s="101"/>
      <c r="J547" s="103"/>
    </row>
    <row r="548" spans="1:10" x14ac:dyDescent="0.25">
      <c r="A548" s="101"/>
      <c r="C548" s="103"/>
      <c r="D548" s="102"/>
      <c r="E548" s="103"/>
      <c r="F548" s="101"/>
      <c r="G548" s="101"/>
      <c r="H548" s="101"/>
      <c r="J548" s="103"/>
    </row>
    <row r="549" spans="1:10" x14ac:dyDescent="0.25">
      <c r="A549" s="101"/>
      <c r="C549" s="103"/>
      <c r="D549" s="102"/>
      <c r="E549" s="103"/>
      <c r="F549" s="101"/>
      <c r="G549" s="101"/>
      <c r="H549" s="101"/>
      <c r="J549" s="103"/>
    </row>
    <row r="550" spans="1:10" x14ac:dyDescent="0.25">
      <c r="A550" s="101"/>
      <c r="C550" s="103"/>
      <c r="D550" s="102"/>
      <c r="E550" s="103"/>
      <c r="F550" s="101"/>
      <c r="G550" s="101"/>
      <c r="H550" s="101"/>
      <c r="J550" s="103"/>
    </row>
    <row r="551" spans="1:10" x14ac:dyDescent="0.25">
      <c r="A551" s="101"/>
      <c r="C551" s="103"/>
      <c r="D551" s="102"/>
      <c r="E551" s="103"/>
      <c r="F551" s="101"/>
      <c r="G551" s="101"/>
      <c r="H551" s="101"/>
      <c r="J551" s="103"/>
    </row>
    <row r="552" spans="1:10" x14ac:dyDescent="0.25">
      <c r="A552" s="101"/>
      <c r="C552" s="103"/>
      <c r="D552" s="102"/>
      <c r="E552" s="103"/>
      <c r="F552" s="101"/>
      <c r="G552" s="101"/>
      <c r="H552" s="101"/>
      <c r="J552" s="103"/>
    </row>
    <row r="553" spans="1:10" x14ac:dyDescent="0.25">
      <c r="A553" s="101"/>
      <c r="C553" s="103"/>
      <c r="D553" s="102"/>
      <c r="E553" s="103"/>
      <c r="F553" s="101"/>
      <c r="G553" s="101"/>
      <c r="H553" s="101"/>
      <c r="J553" s="103"/>
    </row>
    <row r="554" spans="1:10" x14ac:dyDescent="0.25">
      <c r="A554" s="101"/>
      <c r="C554" s="103"/>
      <c r="D554" s="102"/>
      <c r="E554" s="103"/>
      <c r="F554" s="101"/>
      <c r="G554" s="101"/>
      <c r="H554" s="101"/>
      <c r="J554" s="103"/>
    </row>
    <row r="555" spans="1:10" x14ac:dyDescent="0.25">
      <c r="A555" s="101"/>
      <c r="C555" s="103"/>
      <c r="D555" s="102"/>
      <c r="E555" s="103"/>
      <c r="F555" s="101"/>
      <c r="G555" s="101"/>
      <c r="H555" s="101"/>
      <c r="J555" s="103"/>
    </row>
    <row r="556" spans="1:10" x14ac:dyDescent="0.25">
      <c r="A556" s="101"/>
      <c r="C556" s="103"/>
      <c r="D556" s="102"/>
      <c r="E556" s="103"/>
      <c r="F556" s="101"/>
      <c r="G556" s="101"/>
      <c r="H556" s="101"/>
      <c r="J556" s="103"/>
    </row>
    <row r="557" spans="1:10" x14ac:dyDescent="0.25">
      <c r="A557" s="101"/>
      <c r="C557" s="103"/>
      <c r="D557" s="102"/>
      <c r="E557" s="103"/>
      <c r="F557" s="101"/>
      <c r="G557" s="101"/>
      <c r="H557" s="101"/>
      <c r="J557" s="103"/>
    </row>
    <row r="558" spans="1:10" x14ac:dyDescent="0.25">
      <c r="A558" s="101"/>
      <c r="C558" s="103"/>
      <c r="D558" s="102"/>
      <c r="E558" s="103"/>
      <c r="F558" s="101"/>
      <c r="G558" s="101"/>
      <c r="H558" s="101"/>
      <c r="J558" s="103"/>
    </row>
    <row r="559" spans="1:10" x14ac:dyDescent="0.25">
      <c r="A559" s="101"/>
      <c r="C559" s="103"/>
      <c r="D559" s="102"/>
      <c r="E559" s="103"/>
      <c r="F559" s="101"/>
      <c r="G559" s="101"/>
      <c r="H559" s="101"/>
      <c r="J559" s="103"/>
    </row>
    <row r="560" spans="1:10" x14ac:dyDescent="0.25">
      <c r="A560" s="101"/>
      <c r="C560" s="103"/>
      <c r="D560" s="102"/>
      <c r="E560" s="103"/>
      <c r="F560" s="101"/>
      <c r="G560" s="101"/>
      <c r="H560" s="101"/>
      <c r="J560" s="103"/>
    </row>
    <row r="561" spans="1:10" x14ac:dyDescent="0.25">
      <c r="A561" s="101"/>
      <c r="C561" s="103"/>
      <c r="D561" s="102"/>
      <c r="E561" s="103"/>
      <c r="F561" s="101"/>
      <c r="G561" s="101"/>
      <c r="H561" s="101"/>
      <c r="J561" s="103"/>
    </row>
    <row r="562" spans="1:10" x14ac:dyDescent="0.25">
      <c r="A562" s="101"/>
      <c r="C562" s="103"/>
      <c r="D562" s="102"/>
      <c r="E562" s="103"/>
      <c r="F562" s="101"/>
      <c r="G562" s="101"/>
      <c r="H562" s="101"/>
      <c r="J562" s="103"/>
    </row>
    <row r="563" spans="1:10" x14ac:dyDescent="0.25">
      <c r="A563" s="101"/>
      <c r="C563" s="103"/>
      <c r="D563" s="102"/>
      <c r="E563" s="103"/>
      <c r="F563" s="101"/>
      <c r="G563" s="101"/>
      <c r="H563" s="101"/>
      <c r="J563" s="103"/>
    </row>
    <row r="564" spans="1:10" x14ac:dyDescent="0.25">
      <c r="A564" s="101"/>
      <c r="C564" s="103"/>
      <c r="D564" s="102"/>
      <c r="E564" s="103"/>
      <c r="F564" s="101"/>
      <c r="G564" s="101"/>
      <c r="H564" s="101"/>
      <c r="J564" s="103"/>
    </row>
    <row r="565" spans="1:10" x14ac:dyDescent="0.25">
      <c r="A565" s="101"/>
      <c r="C565" s="103"/>
      <c r="D565" s="102"/>
      <c r="E565" s="103"/>
      <c r="F565" s="101"/>
      <c r="G565" s="101"/>
      <c r="H565" s="101"/>
      <c r="J565" s="103"/>
    </row>
    <row r="566" spans="1:10" x14ac:dyDescent="0.25">
      <c r="A566" s="101"/>
      <c r="C566" s="103"/>
      <c r="D566" s="102"/>
      <c r="E566" s="103"/>
      <c r="F566" s="101"/>
      <c r="G566" s="101"/>
      <c r="H566" s="101"/>
      <c r="J566" s="103"/>
    </row>
    <row r="567" spans="1:10" x14ac:dyDescent="0.25">
      <c r="A567" s="101"/>
      <c r="C567" s="103"/>
      <c r="D567" s="102"/>
      <c r="E567" s="103"/>
      <c r="F567" s="101"/>
      <c r="G567" s="101"/>
      <c r="H567" s="101"/>
      <c r="J567" s="103"/>
    </row>
    <row r="568" spans="1:10" x14ac:dyDescent="0.25">
      <c r="A568" s="101"/>
      <c r="C568" s="103"/>
      <c r="D568" s="102"/>
      <c r="E568" s="103"/>
      <c r="F568" s="101"/>
      <c r="G568" s="101"/>
      <c r="H568" s="101"/>
      <c r="J568" s="103"/>
    </row>
    <row r="569" spans="1:10" x14ac:dyDescent="0.25">
      <c r="A569" s="101"/>
      <c r="C569" s="103"/>
      <c r="D569" s="102"/>
      <c r="E569" s="103"/>
      <c r="F569" s="101"/>
      <c r="G569" s="101"/>
      <c r="H569" s="101"/>
      <c r="J569" s="103"/>
    </row>
    <row r="570" spans="1:10" x14ac:dyDescent="0.25">
      <c r="A570" s="101"/>
      <c r="C570" s="103"/>
      <c r="D570" s="102"/>
      <c r="E570" s="103"/>
      <c r="F570" s="101"/>
      <c r="G570" s="101"/>
      <c r="H570" s="101"/>
      <c r="J570" s="103"/>
    </row>
    <row r="571" spans="1:10" x14ac:dyDescent="0.25">
      <c r="A571" s="101"/>
      <c r="C571" s="103"/>
      <c r="D571" s="102"/>
      <c r="E571" s="103"/>
      <c r="F571" s="101"/>
      <c r="G571" s="101"/>
      <c r="H571" s="101"/>
      <c r="J571" s="103"/>
    </row>
    <row r="572" spans="1:10" x14ac:dyDescent="0.25">
      <c r="A572" s="101"/>
      <c r="C572" s="103"/>
      <c r="D572" s="102"/>
      <c r="E572" s="103"/>
      <c r="F572" s="101"/>
      <c r="G572" s="101"/>
      <c r="H572" s="101"/>
      <c r="J572" s="103"/>
    </row>
    <row r="573" spans="1:10" x14ac:dyDescent="0.25">
      <c r="A573" s="101"/>
      <c r="C573" s="103"/>
      <c r="D573" s="102"/>
      <c r="E573" s="103"/>
      <c r="F573" s="101"/>
      <c r="G573" s="101"/>
      <c r="H573" s="101"/>
      <c r="J573" s="103"/>
    </row>
    <row r="574" spans="1:10" x14ac:dyDescent="0.25">
      <c r="A574" s="101"/>
      <c r="C574" s="103"/>
      <c r="D574" s="102"/>
      <c r="E574" s="103"/>
      <c r="F574" s="101"/>
      <c r="G574" s="101"/>
      <c r="H574" s="101"/>
      <c r="J574" s="103"/>
    </row>
    <row r="575" spans="1:10" x14ac:dyDescent="0.25">
      <c r="A575" s="101"/>
      <c r="C575" s="103"/>
      <c r="D575" s="102"/>
      <c r="E575" s="103"/>
      <c r="F575" s="101"/>
      <c r="G575" s="101"/>
      <c r="H575" s="101"/>
      <c r="J575" s="103"/>
    </row>
    <row r="576" spans="1:10" x14ac:dyDescent="0.25">
      <c r="A576" s="101"/>
      <c r="C576" s="103"/>
      <c r="D576" s="102"/>
      <c r="E576" s="103"/>
      <c r="F576" s="101"/>
      <c r="G576" s="101"/>
      <c r="H576" s="101"/>
      <c r="J576" s="103"/>
    </row>
    <row r="577" spans="1:10" x14ac:dyDescent="0.25">
      <c r="A577" s="101"/>
      <c r="C577" s="103"/>
      <c r="D577" s="102"/>
      <c r="E577" s="103"/>
      <c r="F577" s="101"/>
      <c r="G577" s="101"/>
      <c r="H577" s="101"/>
      <c r="J577" s="103"/>
    </row>
    <row r="578" spans="1:10" x14ac:dyDescent="0.25">
      <c r="A578" s="101"/>
      <c r="C578" s="103"/>
      <c r="D578" s="102"/>
      <c r="E578" s="103"/>
      <c r="F578" s="101"/>
      <c r="G578" s="101"/>
      <c r="H578" s="101"/>
      <c r="J578" s="103"/>
    </row>
    <row r="579" spans="1:10" x14ac:dyDescent="0.25">
      <c r="A579" s="101"/>
      <c r="C579" s="103"/>
      <c r="D579" s="102"/>
      <c r="E579" s="103"/>
      <c r="F579" s="101"/>
      <c r="G579" s="101"/>
      <c r="H579" s="101"/>
      <c r="J579" s="103"/>
    </row>
    <row r="580" spans="1:10" x14ac:dyDescent="0.25">
      <c r="A580" s="101"/>
      <c r="C580" s="103"/>
      <c r="D580" s="102"/>
      <c r="E580" s="103"/>
      <c r="F580" s="101"/>
      <c r="G580" s="101"/>
      <c r="H580" s="101"/>
      <c r="J580" s="103"/>
    </row>
    <row r="581" spans="1:10" x14ac:dyDescent="0.25">
      <c r="A581" s="101"/>
      <c r="C581" s="103"/>
      <c r="D581" s="102"/>
      <c r="E581" s="103"/>
      <c r="F581" s="101"/>
      <c r="G581" s="101"/>
      <c r="H581" s="101"/>
      <c r="J581" s="103"/>
    </row>
    <row r="582" spans="1:10" x14ac:dyDescent="0.25">
      <c r="A582" s="101"/>
      <c r="C582" s="103"/>
      <c r="D582" s="102"/>
      <c r="E582" s="103"/>
      <c r="F582" s="101"/>
      <c r="G582" s="101"/>
      <c r="H582" s="101"/>
      <c r="J582" s="103"/>
    </row>
    <row r="583" spans="1:10" x14ac:dyDescent="0.25">
      <c r="A583" s="101"/>
      <c r="C583" s="103"/>
      <c r="D583" s="102"/>
      <c r="E583" s="103"/>
      <c r="F583" s="101"/>
      <c r="G583" s="101"/>
      <c r="H583" s="101"/>
      <c r="J583" s="103"/>
    </row>
    <row r="584" spans="1:10" x14ac:dyDescent="0.25">
      <c r="A584" s="101"/>
      <c r="C584" s="103"/>
      <c r="D584" s="102"/>
      <c r="E584" s="103"/>
      <c r="F584" s="101"/>
      <c r="G584" s="101"/>
      <c r="H584" s="101"/>
      <c r="J584" s="103"/>
    </row>
    <row r="585" spans="1:10" x14ac:dyDescent="0.25">
      <c r="A585" s="101"/>
      <c r="C585" s="103"/>
      <c r="D585" s="102"/>
      <c r="E585" s="103"/>
      <c r="F585" s="101"/>
      <c r="G585" s="101"/>
      <c r="H585" s="101"/>
      <c r="J585" s="103"/>
    </row>
    <row r="586" spans="1:10" x14ac:dyDescent="0.25">
      <c r="A586" s="101"/>
      <c r="C586" s="103"/>
      <c r="D586" s="102"/>
      <c r="E586" s="103"/>
      <c r="F586" s="101"/>
      <c r="G586" s="101"/>
      <c r="H586" s="101"/>
      <c r="J586" s="103"/>
    </row>
    <row r="587" spans="1:10" x14ac:dyDescent="0.25">
      <c r="A587" s="101"/>
      <c r="C587" s="103"/>
      <c r="D587" s="102"/>
      <c r="E587" s="103"/>
      <c r="F587" s="101"/>
      <c r="G587" s="101"/>
      <c r="H587" s="101"/>
      <c r="J587" s="103"/>
    </row>
    <row r="588" spans="1:10" x14ac:dyDescent="0.25">
      <c r="A588" s="101"/>
      <c r="C588" s="103"/>
      <c r="D588" s="102"/>
      <c r="E588" s="103"/>
      <c r="F588" s="101"/>
      <c r="G588" s="101"/>
      <c r="H588" s="101"/>
      <c r="J588" s="103"/>
    </row>
    <row r="589" spans="1:10" x14ac:dyDescent="0.25">
      <c r="A589" s="101"/>
      <c r="C589" s="103"/>
      <c r="D589" s="102"/>
      <c r="E589" s="103"/>
      <c r="F589" s="101"/>
      <c r="G589" s="101"/>
      <c r="H589" s="101"/>
      <c r="J589" s="103"/>
    </row>
    <row r="590" spans="1:10" x14ac:dyDescent="0.25">
      <c r="A590" s="101"/>
      <c r="C590" s="103"/>
      <c r="D590" s="102"/>
      <c r="E590" s="103"/>
      <c r="F590" s="101"/>
      <c r="G590" s="101"/>
      <c r="H590" s="101"/>
      <c r="J590" s="103"/>
    </row>
    <row r="591" spans="1:10" x14ac:dyDescent="0.25">
      <c r="A591" s="101"/>
      <c r="C591" s="103"/>
      <c r="D591" s="102"/>
      <c r="E591" s="103"/>
      <c r="F591" s="101"/>
      <c r="G591" s="101"/>
      <c r="H591" s="101"/>
      <c r="J591" s="103"/>
    </row>
    <row r="592" spans="1:10" x14ac:dyDescent="0.25">
      <c r="A592" s="101"/>
      <c r="C592" s="103"/>
      <c r="D592" s="102"/>
      <c r="E592" s="103"/>
      <c r="F592" s="101"/>
      <c r="G592" s="101"/>
      <c r="H592" s="101"/>
      <c r="J592" s="103"/>
    </row>
    <row r="593" spans="1:10" x14ac:dyDescent="0.25">
      <c r="A593" s="101"/>
      <c r="C593" s="103"/>
      <c r="D593" s="102"/>
      <c r="E593" s="103"/>
      <c r="F593" s="101"/>
      <c r="G593" s="101"/>
      <c r="H593" s="101"/>
      <c r="J593" s="103"/>
    </row>
    <row r="594" spans="1:10" x14ac:dyDescent="0.25">
      <c r="A594" s="101"/>
      <c r="C594" s="103"/>
      <c r="D594" s="102"/>
      <c r="E594" s="103"/>
      <c r="F594" s="101"/>
      <c r="G594" s="101"/>
      <c r="H594" s="101"/>
      <c r="J594" s="103"/>
    </row>
    <row r="595" spans="1:10" x14ac:dyDescent="0.25">
      <c r="A595" s="101"/>
      <c r="C595" s="103"/>
      <c r="D595" s="102"/>
      <c r="E595" s="103"/>
      <c r="F595" s="101"/>
      <c r="G595" s="101"/>
      <c r="H595" s="101"/>
      <c r="J595" s="103"/>
    </row>
    <row r="596" spans="1:10" x14ac:dyDescent="0.25">
      <c r="A596" s="101"/>
      <c r="C596" s="103"/>
      <c r="D596" s="102"/>
      <c r="E596" s="103"/>
      <c r="F596" s="101"/>
      <c r="G596" s="101"/>
      <c r="H596" s="101"/>
      <c r="J596" s="103"/>
    </row>
    <row r="597" spans="1:10" x14ac:dyDescent="0.25">
      <c r="A597" s="101"/>
      <c r="C597" s="103"/>
      <c r="D597" s="102"/>
      <c r="E597" s="103"/>
      <c r="F597" s="101"/>
      <c r="G597" s="101"/>
      <c r="H597" s="101"/>
      <c r="J597" s="103"/>
    </row>
    <row r="598" spans="1:10" x14ac:dyDescent="0.25">
      <c r="A598" s="101"/>
      <c r="C598" s="103"/>
      <c r="D598" s="102"/>
      <c r="E598" s="103"/>
      <c r="F598" s="101"/>
      <c r="G598" s="101"/>
      <c r="H598" s="101"/>
      <c r="J598" s="103"/>
    </row>
    <row r="599" spans="1:10" x14ac:dyDescent="0.25">
      <c r="A599" s="101"/>
      <c r="C599" s="103"/>
      <c r="D599" s="102"/>
      <c r="E599" s="103"/>
      <c r="F599" s="101"/>
      <c r="G599" s="101"/>
      <c r="H599" s="101"/>
      <c r="J599" s="103"/>
    </row>
    <row r="600" spans="1:10" x14ac:dyDescent="0.25">
      <c r="A600" s="101"/>
      <c r="C600" s="103"/>
      <c r="D600" s="102"/>
      <c r="E600" s="103"/>
      <c r="F600" s="101"/>
      <c r="G600" s="101"/>
      <c r="H600" s="101"/>
      <c r="J600" s="103"/>
    </row>
    <row r="601" spans="1:10" x14ac:dyDescent="0.25">
      <c r="A601" s="101"/>
      <c r="C601" s="103"/>
      <c r="D601" s="102"/>
      <c r="E601" s="103"/>
      <c r="F601" s="101"/>
      <c r="G601" s="101"/>
      <c r="H601" s="101"/>
      <c r="J601" s="103"/>
    </row>
    <row r="602" spans="1:10" x14ac:dyDescent="0.25">
      <c r="A602" s="101"/>
      <c r="C602" s="103"/>
      <c r="D602" s="102"/>
      <c r="E602" s="103"/>
      <c r="F602" s="101"/>
      <c r="G602" s="101"/>
      <c r="H602" s="101"/>
      <c r="J602" s="103"/>
    </row>
    <row r="603" spans="1:10" x14ac:dyDescent="0.25">
      <c r="A603" s="101"/>
      <c r="C603" s="103"/>
      <c r="D603" s="102"/>
      <c r="E603" s="103"/>
      <c r="F603" s="101"/>
      <c r="G603" s="101"/>
      <c r="H603" s="101"/>
      <c r="J603" s="103"/>
    </row>
    <row r="604" spans="1:10" x14ac:dyDescent="0.25">
      <c r="A604" s="101"/>
      <c r="C604" s="103"/>
      <c r="D604" s="102"/>
      <c r="E604" s="103"/>
      <c r="F604" s="101"/>
      <c r="G604" s="101"/>
      <c r="H604" s="101"/>
      <c r="J604" s="103"/>
    </row>
    <row r="605" spans="1:10" x14ac:dyDescent="0.25">
      <c r="A605" s="101"/>
      <c r="C605" s="103"/>
      <c r="D605" s="102"/>
      <c r="E605" s="103"/>
      <c r="F605" s="101"/>
      <c r="G605" s="101"/>
      <c r="H605" s="101"/>
      <c r="J605" s="103"/>
    </row>
    <row r="606" spans="1:10" x14ac:dyDescent="0.25">
      <c r="A606" s="101"/>
      <c r="C606" s="103"/>
      <c r="D606" s="102"/>
      <c r="E606" s="103"/>
      <c r="F606" s="101"/>
      <c r="G606" s="101"/>
      <c r="H606" s="101"/>
      <c r="J606" s="103"/>
    </row>
    <row r="607" spans="1:10" x14ac:dyDescent="0.25">
      <c r="A607" s="101"/>
      <c r="C607" s="103"/>
      <c r="D607" s="102"/>
      <c r="E607" s="103"/>
      <c r="F607" s="101"/>
      <c r="G607" s="101"/>
      <c r="H607" s="101"/>
      <c r="J607" s="103"/>
    </row>
    <row r="608" spans="1:10" x14ac:dyDescent="0.25">
      <c r="A608" s="101"/>
      <c r="C608" s="103"/>
      <c r="D608" s="102"/>
      <c r="E608" s="103"/>
      <c r="F608" s="101"/>
      <c r="G608" s="101"/>
      <c r="H608" s="101"/>
      <c r="J608" s="103"/>
    </row>
    <row r="609" spans="1:10" x14ac:dyDescent="0.25">
      <c r="A609" s="101"/>
      <c r="C609" s="103"/>
      <c r="D609" s="102"/>
      <c r="E609" s="103"/>
      <c r="F609" s="101"/>
      <c r="G609" s="101"/>
      <c r="H609" s="101"/>
      <c r="J609" s="103"/>
    </row>
    <row r="610" spans="1:10" x14ac:dyDescent="0.25">
      <c r="A610" s="101"/>
      <c r="C610" s="103"/>
      <c r="D610" s="102"/>
      <c r="E610" s="103"/>
      <c r="F610" s="101"/>
      <c r="G610" s="101"/>
      <c r="H610" s="101"/>
      <c r="J610" s="103"/>
    </row>
    <row r="611" spans="1:10" x14ac:dyDescent="0.25">
      <c r="A611" s="101"/>
      <c r="C611" s="103"/>
      <c r="D611" s="102"/>
      <c r="E611" s="103"/>
      <c r="F611" s="101"/>
      <c r="G611" s="101"/>
      <c r="H611" s="101"/>
      <c r="J611" s="103"/>
    </row>
    <row r="612" spans="1:10" x14ac:dyDescent="0.25">
      <c r="A612" s="101"/>
      <c r="C612" s="103"/>
      <c r="D612" s="102"/>
      <c r="E612" s="103"/>
      <c r="F612" s="101"/>
      <c r="G612" s="101"/>
      <c r="H612" s="101"/>
      <c r="J612" s="103"/>
    </row>
    <row r="613" spans="1:10" x14ac:dyDescent="0.25">
      <c r="A613" s="101"/>
      <c r="C613" s="103"/>
      <c r="D613" s="102"/>
      <c r="E613" s="103"/>
      <c r="F613" s="101"/>
      <c r="G613" s="101"/>
      <c r="H613" s="101"/>
      <c r="J613" s="103"/>
    </row>
    <row r="614" spans="1:10" x14ac:dyDescent="0.25">
      <c r="A614" s="101"/>
      <c r="C614" s="103"/>
      <c r="D614" s="102"/>
      <c r="E614" s="103"/>
      <c r="F614" s="101"/>
      <c r="G614" s="101"/>
      <c r="H614" s="101"/>
      <c r="J614" s="103"/>
    </row>
    <row r="615" spans="1:10" x14ac:dyDescent="0.25">
      <c r="A615" s="101"/>
      <c r="C615" s="103"/>
      <c r="D615" s="102"/>
      <c r="E615" s="103"/>
      <c r="F615" s="101"/>
      <c r="G615" s="101"/>
      <c r="H615" s="101"/>
      <c r="J615" s="103"/>
    </row>
    <row r="616" spans="1:10" x14ac:dyDescent="0.25">
      <c r="A616" s="101"/>
      <c r="C616" s="103"/>
      <c r="D616" s="102"/>
      <c r="E616" s="103"/>
      <c r="F616" s="101"/>
      <c r="G616" s="101"/>
      <c r="H616" s="101"/>
      <c r="J616" s="103"/>
    </row>
    <row r="617" spans="1:10" x14ac:dyDescent="0.25">
      <c r="A617" s="101"/>
      <c r="C617" s="103"/>
      <c r="D617" s="102"/>
      <c r="E617" s="103"/>
      <c r="F617" s="101"/>
      <c r="G617" s="101"/>
      <c r="H617" s="101"/>
      <c r="J617" s="103"/>
    </row>
    <row r="618" spans="1:10" x14ac:dyDescent="0.25">
      <c r="A618" s="101"/>
      <c r="C618" s="103"/>
      <c r="D618" s="102"/>
      <c r="E618" s="103"/>
      <c r="F618" s="101"/>
      <c r="G618" s="101"/>
      <c r="H618" s="101"/>
      <c r="J618" s="103"/>
    </row>
    <row r="619" spans="1:10" x14ac:dyDescent="0.25">
      <c r="A619" s="101"/>
      <c r="C619" s="103"/>
      <c r="D619" s="102"/>
      <c r="E619" s="103"/>
      <c r="F619" s="101"/>
      <c r="G619" s="101"/>
      <c r="H619" s="101"/>
      <c r="J619" s="103"/>
    </row>
    <row r="620" spans="1:10" x14ac:dyDescent="0.25">
      <c r="A620" s="101"/>
      <c r="C620" s="103"/>
      <c r="D620" s="102"/>
      <c r="E620" s="103"/>
      <c r="F620" s="101"/>
      <c r="G620" s="101"/>
      <c r="H620" s="101"/>
      <c r="J620" s="103"/>
    </row>
    <row r="621" spans="1:10" x14ac:dyDescent="0.25">
      <c r="A621" s="101"/>
      <c r="C621" s="103"/>
      <c r="D621" s="102"/>
      <c r="E621" s="103"/>
      <c r="F621" s="101"/>
      <c r="G621" s="101"/>
      <c r="H621" s="101"/>
      <c r="J621" s="103"/>
    </row>
    <row r="622" spans="1:10" x14ac:dyDescent="0.25">
      <c r="A622" s="101"/>
      <c r="C622" s="103"/>
      <c r="D622" s="102"/>
      <c r="E622" s="103"/>
      <c r="F622" s="101"/>
      <c r="G622" s="101"/>
      <c r="H622" s="101"/>
      <c r="J622" s="103"/>
    </row>
    <row r="623" spans="1:10" x14ac:dyDescent="0.25">
      <c r="A623" s="101"/>
      <c r="C623" s="103"/>
      <c r="D623" s="102"/>
      <c r="E623" s="103"/>
      <c r="F623" s="101"/>
      <c r="G623" s="101"/>
      <c r="H623" s="101"/>
      <c r="J623" s="103"/>
    </row>
    <row r="624" spans="1:10" x14ac:dyDescent="0.25">
      <c r="A624" s="101"/>
      <c r="C624" s="103"/>
      <c r="D624" s="102"/>
      <c r="E624" s="103"/>
      <c r="F624" s="101"/>
      <c r="G624" s="101"/>
      <c r="H624" s="101"/>
      <c r="J624" s="103"/>
    </row>
    <row r="625" spans="1:10" x14ac:dyDescent="0.25">
      <c r="A625" s="101"/>
      <c r="C625" s="103"/>
      <c r="D625" s="102"/>
      <c r="E625" s="103"/>
      <c r="F625" s="101"/>
      <c r="G625" s="101"/>
      <c r="H625" s="101"/>
      <c r="J625" s="103"/>
    </row>
    <row r="626" spans="1:10" x14ac:dyDescent="0.25">
      <c r="A626" s="101"/>
      <c r="C626" s="103"/>
      <c r="D626" s="102"/>
      <c r="E626" s="103"/>
      <c r="F626" s="101"/>
      <c r="G626" s="101"/>
      <c r="H626" s="101"/>
      <c r="J626" s="103"/>
    </row>
    <row r="627" spans="1:10" x14ac:dyDescent="0.25">
      <c r="A627" s="101"/>
      <c r="C627" s="103"/>
      <c r="D627" s="102"/>
      <c r="E627" s="103"/>
      <c r="F627" s="101"/>
      <c r="G627" s="101"/>
      <c r="H627" s="101"/>
      <c r="J627" s="103"/>
    </row>
    <row r="628" spans="1:10" x14ac:dyDescent="0.25">
      <c r="A628" s="101"/>
      <c r="C628" s="103"/>
      <c r="D628" s="102"/>
      <c r="E628" s="103"/>
      <c r="F628" s="101"/>
      <c r="G628" s="101"/>
      <c r="H628" s="101"/>
      <c r="J628" s="103"/>
    </row>
    <row r="629" spans="1:10" x14ac:dyDescent="0.25">
      <c r="A629" s="101"/>
      <c r="C629" s="103"/>
      <c r="D629" s="102"/>
      <c r="E629" s="103"/>
      <c r="F629" s="101"/>
      <c r="G629" s="101"/>
      <c r="H629" s="101"/>
      <c r="J629" s="103"/>
    </row>
    <row r="630" spans="1:10" x14ac:dyDescent="0.25">
      <c r="A630" s="101"/>
      <c r="C630" s="103"/>
      <c r="D630" s="102"/>
      <c r="E630" s="103"/>
      <c r="F630" s="101"/>
      <c r="G630" s="101"/>
      <c r="H630" s="101"/>
      <c r="J630" s="103"/>
    </row>
    <row r="631" spans="1:10" x14ac:dyDescent="0.25">
      <c r="A631" s="101"/>
      <c r="C631" s="103"/>
      <c r="D631" s="102"/>
      <c r="E631" s="103"/>
      <c r="F631" s="101"/>
      <c r="G631" s="101"/>
      <c r="H631" s="101"/>
      <c r="J631" s="103"/>
    </row>
    <row r="632" spans="1:10" x14ac:dyDescent="0.25">
      <c r="A632" s="101"/>
      <c r="C632" s="103"/>
      <c r="D632" s="102"/>
      <c r="E632" s="103"/>
      <c r="F632" s="101"/>
      <c r="G632" s="101"/>
      <c r="H632" s="101"/>
      <c r="J632" s="103"/>
    </row>
    <row r="633" spans="1:10" x14ac:dyDescent="0.25">
      <c r="A633" s="101"/>
      <c r="C633" s="103"/>
      <c r="D633" s="102"/>
      <c r="E633" s="103"/>
      <c r="F633" s="101"/>
      <c r="G633" s="101"/>
      <c r="H633" s="101"/>
      <c r="J633" s="103"/>
    </row>
    <row r="634" spans="1:10" x14ac:dyDescent="0.25">
      <c r="A634" s="101"/>
      <c r="C634" s="103"/>
      <c r="D634" s="102"/>
      <c r="E634" s="103"/>
      <c r="F634" s="101"/>
      <c r="G634" s="101"/>
      <c r="H634" s="101"/>
      <c r="J634" s="103"/>
    </row>
    <row r="635" spans="1:10" x14ac:dyDescent="0.25">
      <c r="A635" s="101"/>
      <c r="C635" s="103"/>
      <c r="D635" s="102"/>
      <c r="E635" s="103"/>
      <c r="F635" s="101"/>
      <c r="G635" s="101"/>
      <c r="H635" s="101"/>
      <c r="J635" s="103"/>
    </row>
    <row r="636" spans="1:10" x14ac:dyDescent="0.25">
      <c r="A636" s="101"/>
      <c r="C636" s="103"/>
      <c r="D636" s="102"/>
      <c r="E636" s="103"/>
      <c r="F636" s="101"/>
      <c r="G636" s="101"/>
      <c r="H636" s="101"/>
      <c r="J636" s="103"/>
    </row>
    <row r="637" spans="1:10" x14ac:dyDescent="0.25">
      <c r="A637" s="101"/>
      <c r="C637" s="103"/>
      <c r="D637" s="102"/>
      <c r="E637" s="103"/>
      <c r="F637" s="101"/>
      <c r="G637" s="101"/>
      <c r="H637" s="101"/>
      <c r="J637" s="103"/>
    </row>
    <row r="638" spans="1:10" x14ac:dyDescent="0.25">
      <c r="A638" s="101"/>
      <c r="C638" s="103"/>
      <c r="D638" s="102"/>
      <c r="E638" s="103"/>
      <c r="F638" s="101"/>
      <c r="G638" s="101"/>
      <c r="H638" s="101"/>
      <c r="J638" s="103"/>
    </row>
    <row r="639" spans="1:10" x14ac:dyDescent="0.25">
      <c r="A639" s="101"/>
      <c r="C639" s="103"/>
      <c r="D639" s="102"/>
      <c r="E639" s="103"/>
      <c r="F639" s="101"/>
      <c r="G639" s="101"/>
      <c r="H639" s="101"/>
      <c r="J639" s="103"/>
    </row>
    <row r="640" spans="1:10" x14ac:dyDescent="0.25">
      <c r="A640" s="101"/>
      <c r="C640" s="103"/>
      <c r="D640" s="102"/>
      <c r="E640" s="103"/>
      <c r="F640" s="101"/>
      <c r="G640" s="101"/>
      <c r="H640" s="101"/>
      <c r="J640" s="103"/>
    </row>
    <row r="641" spans="1:10" x14ac:dyDescent="0.25">
      <c r="A641" s="101"/>
      <c r="C641" s="103"/>
      <c r="D641" s="102"/>
      <c r="E641" s="103"/>
      <c r="F641" s="101"/>
      <c r="G641" s="101"/>
      <c r="H641" s="101"/>
      <c r="J641" s="103"/>
    </row>
    <row r="642" spans="1:10" x14ac:dyDescent="0.25">
      <c r="A642" s="101"/>
      <c r="C642" s="103"/>
      <c r="D642" s="102"/>
      <c r="E642" s="103"/>
      <c r="F642" s="101"/>
      <c r="G642" s="101"/>
      <c r="H642" s="101"/>
      <c r="J642" s="103"/>
    </row>
    <row r="643" spans="1:10" x14ac:dyDescent="0.25">
      <c r="A643" s="101"/>
      <c r="C643" s="103"/>
      <c r="D643" s="102"/>
      <c r="E643" s="103"/>
      <c r="F643" s="101"/>
      <c r="G643" s="101"/>
      <c r="H643" s="101"/>
      <c r="J643" s="103"/>
    </row>
    <row r="644" spans="1:10" x14ac:dyDescent="0.25">
      <c r="A644" s="101"/>
      <c r="C644" s="103"/>
      <c r="D644" s="102"/>
      <c r="E644" s="103"/>
      <c r="F644" s="101"/>
      <c r="G644" s="101"/>
      <c r="H644" s="101"/>
      <c r="J644" s="103"/>
    </row>
    <row r="645" spans="1:10" x14ac:dyDescent="0.25">
      <c r="A645" s="101"/>
      <c r="C645" s="103"/>
      <c r="D645" s="102"/>
      <c r="E645" s="103"/>
      <c r="F645" s="101"/>
      <c r="G645" s="101"/>
      <c r="H645" s="101"/>
      <c r="J645" s="103"/>
    </row>
    <row r="646" spans="1:10" x14ac:dyDescent="0.25">
      <c r="A646" s="101"/>
      <c r="C646" s="103"/>
      <c r="D646" s="102"/>
      <c r="E646" s="103"/>
      <c r="F646" s="101"/>
      <c r="G646" s="101"/>
      <c r="H646" s="101"/>
      <c r="J646" s="103"/>
    </row>
    <row r="647" spans="1:10" x14ac:dyDescent="0.25">
      <c r="A647" s="101"/>
      <c r="C647" s="103"/>
      <c r="D647" s="102"/>
      <c r="E647" s="103"/>
      <c r="F647" s="101"/>
      <c r="G647" s="101"/>
      <c r="H647" s="101"/>
      <c r="J647" s="103"/>
    </row>
    <row r="648" spans="1:10" x14ac:dyDescent="0.25">
      <c r="A648" s="101"/>
      <c r="C648" s="103"/>
      <c r="D648" s="102"/>
      <c r="E648" s="103"/>
      <c r="F648" s="101"/>
      <c r="G648" s="101"/>
      <c r="H648" s="101"/>
      <c r="J648" s="103"/>
    </row>
    <row r="649" spans="1:10" x14ac:dyDescent="0.25">
      <c r="A649" s="101"/>
      <c r="C649" s="103"/>
      <c r="D649" s="102"/>
      <c r="E649" s="103"/>
      <c r="F649" s="101"/>
      <c r="G649" s="101"/>
      <c r="H649" s="101"/>
      <c r="J649" s="103"/>
    </row>
    <row r="650" spans="1:10" x14ac:dyDescent="0.25">
      <c r="A650" s="101"/>
      <c r="C650" s="103"/>
      <c r="D650" s="102"/>
      <c r="E650" s="103"/>
      <c r="F650" s="101"/>
      <c r="G650" s="101"/>
      <c r="H650" s="101"/>
      <c r="J650" s="103"/>
    </row>
    <row r="651" spans="1:10" x14ac:dyDescent="0.25">
      <c r="A651" s="101"/>
      <c r="C651" s="103"/>
      <c r="D651" s="102"/>
      <c r="E651" s="103"/>
      <c r="F651" s="101"/>
      <c r="G651" s="101"/>
      <c r="H651" s="101"/>
      <c r="J651" s="103"/>
    </row>
    <row r="652" spans="1:10" x14ac:dyDescent="0.25">
      <c r="A652" s="101"/>
      <c r="C652" s="103"/>
      <c r="D652" s="102"/>
      <c r="E652" s="103"/>
      <c r="F652" s="101"/>
      <c r="G652" s="101"/>
      <c r="H652" s="101"/>
      <c r="J652" s="103"/>
    </row>
    <row r="653" spans="1:10" x14ac:dyDescent="0.25">
      <c r="A653" s="101"/>
      <c r="C653" s="103"/>
      <c r="D653" s="102"/>
      <c r="E653" s="103"/>
      <c r="F653" s="101"/>
      <c r="G653" s="101"/>
      <c r="H653" s="101"/>
      <c r="J653" s="103"/>
    </row>
    <row r="654" spans="1:10" x14ac:dyDescent="0.25">
      <c r="A654" s="101"/>
      <c r="C654" s="103"/>
      <c r="D654" s="102"/>
      <c r="E654" s="103"/>
      <c r="F654" s="101"/>
      <c r="G654" s="101"/>
      <c r="H654" s="101"/>
      <c r="J654" s="103"/>
    </row>
    <row r="655" spans="1:10" x14ac:dyDescent="0.25">
      <c r="A655" s="101"/>
      <c r="C655" s="103"/>
      <c r="D655" s="102"/>
      <c r="E655" s="103"/>
      <c r="F655" s="101"/>
      <c r="G655" s="101"/>
      <c r="H655" s="101"/>
      <c r="J655" s="103"/>
    </row>
    <row r="656" spans="1:10" x14ac:dyDescent="0.25">
      <c r="A656" s="101"/>
      <c r="C656" s="103"/>
      <c r="D656" s="102"/>
      <c r="E656" s="103"/>
      <c r="F656" s="101"/>
      <c r="G656" s="101"/>
      <c r="H656" s="101"/>
      <c r="J656" s="103"/>
    </row>
    <row r="657" spans="1:10" x14ac:dyDescent="0.25">
      <c r="A657" s="101"/>
      <c r="C657" s="103"/>
      <c r="D657" s="102"/>
      <c r="E657" s="103"/>
      <c r="F657" s="101"/>
      <c r="G657" s="101"/>
      <c r="H657" s="101"/>
      <c r="J657" s="103"/>
    </row>
    <row r="658" spans="1:10" x14ac:dyDescent="0.25">
      <c r="A658" s="101"/>
      <c r="C658" s="103"/>
      <c r="D658" s="102"/>
      <c r="E658" s="103"/>
      <c r="F658" s="101"/>
      <c r="G658" s="101"/>
      <c r="H658" s="101"/>
      <c r="J658" s="103"/>
    </row>
    <row r="659" spans="1:10" x14ac:dyDescent="0.25">
      <c r="A659" s="101"/>
      <c r="C659" s="103"/>
      <c r="D659" s="102"/>
      <c r="E659" s="103"/>
      <c r="F659" s="101"/>
      <c r="G659" s="101"/>
      <c r="H659" s="101"/>
      <c r="J659" s="103"/>
    </row>
    <row r="660" spans="1:10" x14ac:dyDescent="0.25">
      <c r="A660" s="101"/>
      <c r="C660" s="103"/>
      <c r="D660" s="102"/>
      <c r="E660" s="103"/>
      <c r="F660" s="101"/>
      <c r="G660" s="101"/>
      <c r="H660" s="101"/>
      <c r="J660" s="103"/>
    </row>
    <row r="661" spans="1:10" x14ac:dyDescent="0.25">
      <c r="A661" s="101"/>
      <c r="C661" s="103"/>
      <c r="D661" s="102"/>
      <c r="E661" s="103"/>
      <c r="F661" s="101"/>
      <c r="G661" s="101"/>
      <c r="H661" s="101"/>
      <c r="J661" s="103"/>
    </row>
    <row r="662" spans="1:10" x14ac:dyDescent="0.25">
      <c r="A662" s="101"/>
      <c r="C662" s="103"/>
      <c r="D662" s="102"/>
      <c r="E662" s="103"/>
      <c r="F662" s="101"/>
      <c r="G662" s="101"/>
      <c r="H662" s="101"/>
      <c r="J662" s="103"/>
    </row>
    <row r="663" spans="1:10" x14ac:dyDescent="0.25">
      <c r="A663" s="101"/>
      <c r="C663" s="103"/>
      <c r="D663" s="102"/>
      <c r="E663" s="103"/>
      <c r="F663" s="101"/>
      <c r="G663" s="101"/>
      <c r="H663" s="101"/>
      <c r="J663" s="103"/>
    </row>
    <row r="664" spans="1:10" x14ac:dyDescent="0.25">
      <c r="A664" s="101"/>
      <c r="C664" s="103"/>
      <c r="D664" s="102"/>
      <c r="E664" s="103"/>
      <c r="F664" s="101"/>
      <c r="G664" s="101"/>
      <c r="H664" s="101"/>
      <c r="J664" s="103"/>
    </row>
    <row r="665" spans="1:10" x14ac:dyDescent="0.25">
      <c r="A665" s="101"/>
      <c r="C665" s="103"/>
      <c r="D665" s="102"/>
      <c r="E665" s="103"/>
      <c r="F665" s="101"/>
      <c r="G665" s="101"/>
      <c r="H665" s="101"/>
      <c r="J665" s="103"/>
    </row>
    <row r="666" spans="1:10" x14ac:dyDescent="0.25">
      <c r="A666" s="101"/>
      <c r="C666" s="103"/>
      <c r="D666" s="102"/>
      <c r="E666" s="103"/>
      <c r="F666" s="101"/>
      <c r="G666" s="101"/>
      <c r="H666" s="101"/>
      <c r="J666" s="103"/>
    </row>
    <row r="667" spans="1:10" x14ac:dyDescent="0.25">
      <c r="A667" s="101"/>
      <c r="C667" s="103"/>
      <c r="D667" s="102"/>
      <c r="E667" s="103"/>
      <c r="F667" s="101"/>
      <c r="G667" s="101"/>
      <c r="H667" s="101"/>
      <c r="J667" s="103"/>
    </row>
    <row r="668" spans="1:10" x14ac:dyDescent="0.25">
      <c r="A668" s="101"/>
      <c r="C668" s="103"/>
      <c r="D668" s="102"/>
      <c r="E668" s="103"/>
      <c r="F668" s="101"/>
      <c r="G668" s="101"/>
      <c r="H668" s="101"/>
      <c r="J668" s="103"/>
    </row>
    <row r="669" spans="1:10" x14ac:dyDescent="0.25">
      <c r="A669" s="101"/>
      <c r="C669" s="103"/>
      <c r="D669" s="102"/>
      <c r="E669" s="103"/>
      <c r="F669" s="101"/>
      <c r="G669" s="101"/>
      <c r="H669" s="101"/>
      <c r="J669" s="103"/>
    </row>
    <row r="670" spans="1:10" x14ac:dyDescent="0.25">
      <c r="A670" s="101"/>
      <c r="C670" s="103"/>
      <c r="D670" s="102"/>
      <c r="E670" s="103"/>
      <c r="F670" s="101"/>
      <c r="G670" s="101"/>
      <c r="H670" s="101"/>
      <c r="J670" s="103"/>
    </row>
    <row r="671" spans="1:10" x14ac:dyDescent="0.25">
      <c r="A671" s="101"/>
      <c r="C671" s="103"/>
      <c r="D671" s="102"/>
      <c r="E671" s="103"/>
      <c r="F671" s="101"/>
      <c r="G671" s="101"/>
      <c r="H671" s="101"/>
      <c r="J671" s="103"/>
    </row>
    <row r="672" spans="1:10" x14ac:dyDescent="0.25">
      <c r="A672" s="101"/>
      <c r="C672" s="103"/>
      <c r="D672" s="102"/>
      <c r="E672" s="103"/>
      <c r="F672" s="101"/>
      <c r="G672" s="101"/>
      <c r="H672" s="101"/>
      <c r="J672" s="103"/>
    </row>
    <row r="673" spans="1:10" x14ac:dyDescent="0.25">
      <c r="A673" s="101"/>
      <c r="C673" s="103"/>
      <c r="D673" s="102"/>
      <c r="E673" s="103"/>
      <c r="F673" s="101"/>
      <c r="G673" s="101"/>
      <c r="H673" s="101"/>
      <c r="J673" s="103"/>
    </row>
    <row r="674" spans="1:10" x14ac:dyDescent="0.25">
      <c r="A674" s="101"/>
      <c r="C674" s="103"/>
      <c r="D674" s="102"/>
      <c r="E674" s="103"/>
      <c r="F674" s="101"/>
      <c r="G674" s="101"/>
      <c r="H674" s="101"/>
      <c r="J674" s="103"/>
    </row>
    <row r="675" spans="1:10" x14ac:dyDescent="0.25">
      <c r="A675" s="101"/>
      <c r="C675" s="103"/>
      <c r="D675" s="102"/>
      <c r="E675" s="103"/>
      <c r="F675" s="101"/>
      <c r="G675" s="101"/>
      <c r="H675" s="101"/>
      <c r="J675" s="103"/>
    </row>
    <row r="676" spans="1:10" x14ac:dyDescent="0.25">
      <c r="A676" s="101"/>
      <c r="C676" s="103"/>
      <c r="D676" s="102"/>
      <c r="E676" s="103"/>
      <c r="F676" s="101"/>
      <c r="G676" s="101"/>
      <c r="H676" s="101"/>
      <c r="J676" s="103"/>
    </row>
    <row r="677" spans="1:10" x14ac:dyDescent="0.25">
      <c r="A677" s="101"/>
      <c r="C677" s="103"/>
      <c r="D677" s="102"/>
      <c r="E677" s="103"/>
      <c r="F677" s="101"/>
      <c r="G677" s="101"/>
      <c r="H677" s="101"/>
      <c r="J677" s="103"/>
    </row>
    <row r="678" spans="1:10" x14ac:dyDescent="0.25">
      <c r="A678" s="101"/>
      <c r="C678" s="103"/>
      <c r="D678" s="102"/>
      <c r="E678" s="103"/>
      <c r="F678" s="101"/>
      <c r="G678" s="101"/>
      <c r="H678" s="101"/>
      <c r="J678" s="103"/>
    </row>
    <row r="679" spans="1:10" x14ac:dyDescent="0.25">
      <c r="A679" s="101"/>
      <c r="C679" s="103"/>
      <c r="D679" s="102"/>
      <c r="E679" s="103"/>
      <c r="F679" s="101"/>
      <c r="G679" s="101"/>
      <c r="H679" s="101"/>
      <c r="J679" s="103"/>
    </row>
    <row r="680" spans="1:10" x14ac:dyDescent="0.25">
      <c r="A680" s="101"/>
      <c r="C680" s="103"/>
      <c r="D680" s="102"/>
      <c r="E680" s="103"/>
      <c r="F680" s="101"/>
      <c r="G680" s="101"/>
      <c r="H680" s="101"/>
      <c r="J680" s="103"/>
    </row>
    <row r="681" spans="1:10" x14ac:dyDescent="0.25">
      <c r="A681" s="101"/>
      <c r="C681" s="103"/>
      <c r="D681" s="102"/>
      <c r="E681" s="103"/>
      <c r="F681" s="101"/>
      <c r="G681" s="101"/>
      <c r="H681" s="101"/>
      <c r="J681" s="103"/>
    </row>
    <row r="682" spans="1:10" x14ac:dyDescent="0.25">
      <c r="A682" s="101"/>
      <c r="C682" s="103"/>
      <c r="D682" s="102"/>
      <c r="E682" s="103"/>
      <c r="F682" s="101"/>
      <c r="G682" s="101"/>
      <c r="H682" s="101"/>
      <c r="J682" s="103"/>
    </row>
    <row r="683" spans="1:10" x14ac:dyDescent="0.25">
      <c r="A683" s="101"/>
      <c r="C683" s="103"/>
      <c r="D683" s="102"/>
      <c r="E683" s="103"/>
      <c r="F683" s="101"/>
      <c r="G683" s="101"/>
      <c r="H683" s="101"/>
      <c r="J683" s="103"/>
    </row>
    <row r="684" spans="1:10" x14ac:dyDescent="0.25">
      <c r="A684" s="101"/>
      <c r="C684" s="103"/>
      <c r="D684" s="102"/>
      <c r="E684" s="103"/>
      <c r="F684" s="101"/>
      <c r="G684" s="101"/>
      <c r="H684" s="101"/>
      <c r="J684" s="103"/>
    </row>
    <row r="685" spans="1:10" x14ac:dyDescent="0.25">
      <c r="A685" s="101"/>
      <c r="C685" s="103"/>
      <c r="D685" s="102"/>
      <c r="E685" s="103"/>
      <c r="F685" s="101"/>
      <c r="G685" s="101"/>
      <c r="H685" s="101"/>
      <c r="J685" s="103"/>
    </row>
    <row r="686" spans="1:10" x14ac:dyDescent="0.25">
      <c r="A686" s="101"/>
      <c r="C686" s="103"/>
      <c r="D686" s="102"/>
      <c r="E686" s="103"/>
      <c r="F686" s="101"/>
      <c r="G686" s="101"/>
      <c r="H686" s="101"/>
      <c r="J686" s="103"/>
    </row>
    <row r="687" spans="1:10" x14ac:dyDescent="0.25">
      <c r="A687" s="101"/>
      <c r="C687" s="103"/>
      <c r="D687" s="102"/>
      <c r="E687" s="103"/>
      <c r="F687" s="101"/>
      <c r="G687" s="101"/>
      <c r="H687" s="101"/>
      <c r="J687" s="103"/>
    </row>
    <row r="688" spans="1:10" x14ac:dyDescent="0.25">
      <c r="A688" s="101"/>
      <c r="C688" s="103"/>
      <c r="D688" s="102"/>
      <c r="E688" s="103"/>
      <c r="F688" s="101"/>
      <c r="G688" s="101"/>
      <c r="H688" s="101"/>
      <c r="J688" s="103"/>
    </row>
    <row r="689" spans="1:10" x14ac:dyDescent="0.25">
      <c r="A689" s="101"/>
      <c r="C689" s="103"/>
      <c r="D689" s="102"/>
      <c r="E689" s="103"/>
      <c r="F689" s="101"/>
      <c r="G689" s="101"/>
      <c r="H689" s="101"/>
      <c r="J689" s="103"/>
    </row>
    <row r="690" spans="1:10" x14ac:dyDescent="0.25">
      <c r="A690" s="101"/>
      <c r="C690" s="103"/>
      <c r="D690" s="102"/>
      <c r="E690" s="103"/>
      <c r="F690" s="101"/>
      <c r="G690" s="101"/>
      <c r="H690" s="101"/>
      <c r="J690" s="103"/>
    </row>
    <row r="691" spans="1:10" x14ac:dyDescent="0.25">
      <c r="A691" s="101"/>
      <c r="C691" s="103"/>
      <c r="D691" s="102"/>
      <c r="E691" s="103"/>
      <c r="F691" s="101"/>
      <c r="G691" s="101"/>
      <c r="H691" s="101"/>
      <c r="J691" s="103"/>
    </row>
    <row r="692" spans="1:10" x14ac:dyDescent="0.25">
      <c r="A692" s="101"/>
      <c r="C692" s="103"/>
      <c r="D692" s="102"/>
      <c r="E692" s="103"/>
      <c r="F692" s="101"/>
      <c r="G692" s="101"/>
      <c r="H692" s="101"/>
      <c r="J692" s="103"/>
    </row>
    <row r="693" spans="1:10" x14ac:dyDescent="0.25">
      <c r="A693" s="101"/>
      <c r="C693" s="103"/>
      <c r="D693" s="102"/>
      <c r="E693" s="103"/>
      <c r="F693" s="101"/>
      <c r="G693" s="101"/>
      <c r="H693" s="101"/>
      <c r="J693" s="103"/>
    </row>
    <row r="694" spans="1:10" x14ac:dyDescent="0.25">
      <c r="A694" s="101"/>
      <c r="C694" s="103"/>
      <c r="D694" s="102"/>
      <c r="E694" s="103"/>
      <c r="F694" s="101"/>
      <c r="G694" s="101"/>
      <c r="H694" s="101"/>
      <c r="J694" s="103"/>
    </row>
    <row r="695" spans="1:10" x14ac:dyDescent="0.25">
      <c r="A695" s="101"/>
      <c r="C695" s="103"/>
      <c r="D695" s="102"/>
      <c r="E695" s="103"/>
      <c r="F695" s="101"/>
      <c r="G695" s="101"/>
      <c r="H695" s="101"/>
      <c r="J695" s="103"/>
    </row>
    <row r="696" spans="1:10" x14ac:dyDescent="0.25">
      <c r="A696" s="101"/>
      <c r="C696" s="103"/>
      <c r="D696" s="102"/>
      <c r="E696" s="103"/>
      <c r="F696" s="101"/>
      <c r="G696" s="101"/>
      <c r="H696" s="101"/>
      <c r="J696" s="103"/>
    </row>
    <row r="697" spans="1:10" x14ac:dyDescent="0.25">
      <c r="A697" s="101"/>
      <c r="C697" s="103"/>
      <c r="D697" s="102"/>
      <c r="E697" s="103"/>
      <c r="F697" s="101"/>
      <c r="G697" s="101"/>
      <c r="H697" s="101"/>
      <c r="J697" s="103"/>
    </row>
    <row r="698" spans="1:10" x14ac:dyDescent="0.25">
      <c r="A698" s="101"/>
      <c r="C698" s="103"/>
      <c r="D698" s="102"/>
      <c r="E698" s="103"/>
      <c r="F698" s="101"/>
      <c r="G698" s="101"/>
      <c r="H698" s="101"/>
      <c r="J698" s="103"/>
    </row>
    <row r="699" spans="1:10" x14ac:dyDescent="0.25">
      <c r="A699" s="101"/>
      <c r="C699" s="103"/>
      <c r="D699" s="102"/>
      <c r="E699" s="103"/>
      <c r="F699" s="101"/>
      <c r="G699" s="101"/>
      <c r="H699" s="101"/>
      <c r="J699" s="103"/>
    </row>
    <row r="700" spans="1:10" x14ac:dyDescent="0.25">
      <c r="A700" s="101"/>
      <c r="C700" s="103"/>
      <c r="D700" s="102"/>
      <c r="E700" s="103"/>
      <c r="F700" s="101"/>
      <c r="G700" s="101"/>
      <c r="H700" s="101"/>
      <c r="J700" s="103"/>
    </row>
    <row r="701" spans="1:10" x14ac:dyDescent="0.25">
      <c r="A701" s="101"/>
      <c r="C701" s="103"/>
      <c r="D701" s="102"/>
      <c r="E701" s="103"/>
      <c r="F701" s="101"/>
      <c r="G701" s="101"/>
      <c r="H701" s="101"/>
      <c r="J701" s="103"/>
    </row>
    <row r="702" spans="1:10" x14ac:dyDescent="0.25">
      <c r="A702" s="101"/>
      <c r="C702" s="103"/>
      <c r="D702" s="102"/>
      <c r="E702" s="103"/>
      <c r="F702" s="101"/>
      <c r="G702" s="101"/>
      <c r="H702" s="101"/>
      <c r="J702" s="103"/>
    </row>
    <row r="703" spans="1:10" x14ac:dyDescent="0.25">
      <c r="A703" s="101"/>
      <c r="C703" s="103"/>
      <c r="D703" s="102"/>
      <c r="E703" s="103"/>
      <c r="F703" s="101"/>
      <c r="G703" s="101"/>
      <c r="H703" s="101"/>
      <c r="J703" s="103"/>
    </row>
    <row r="704" spans="1:10" x14ac:dyDescent="0.25">
      <c r="A704" s="101"/>
      <c r="C704" s="103"/>
      <c r="D704" s="102"/>
      <c r="E704" s="103"/>
      <c r="F704" s="101"/>
      <c r="G704" s="101"/>
      <c r="H704" s="101"/>
      <c r="J704" s="103"/>
    </row>
    <row r="705" spans="1:10" x14ac:dyDescent="0.25">
      <c r="A705" s="101"/>
      <c r="C705" s="103"/>
      <c r="D705" s="102"/>
      <c r="E705" s="103"/>
      <c r="F705" s="101"/>
      <c r="G705" s="101"/>
      <c r="H705" s="101"/>
      <c r="J705" s="103"/>
    </row>
    <row r="706" spans="1:10" x14ac:dyDescent="0.25">
      <c r="A706" s="101"/>
      <c r="C706" s="103"/>
      <c r="D706" s="102"/>
      <c r="E706" s="103"/>
      <c r="F706" s="101"/>
      <c r="G706" s="101"/>
      <c r="H706" s="101"/>
      <c r="J706" s="103"/>
    </row>
    <row r="707" spans="1:10" x14ac:dyDescent="0.25">
      <c r="A707" s="101"/>
      <c r="C707" s="103"/>
      <c r="D707" s="102"/>
      <c r="E707" s="103"/>
      <c r="F707" s="101"/>
      <c r="G707" s="101"/>
      <c r="H707" s="101"/>
      <c r="J707" s="103"/>
    </row>
    <row r="708" spans="1:10" x14ac:dyDescent="0.25">
      <c r="A708" s="101"/>
      <c r="C708" s="103"/>
      <c r="D708" s="102"/>
      <c r="E708" s="103"/>
      <c r="F708" s="101"/>
      <c r="G708" s="101"/>
      <c r="H708" s="101"/>
      <c r="J708" s="103"/>
    </row>
    <row r="709" spans="1:10" x14ac:dyDescent="0.25">
      <c r="A709" s="101"/>
      <c r="C709" s="103"/>
      <c r="D709" s="102"/>
      <c r="E709" s="103"/>
      <c r="F709" s="101"/>
      <c r="G709" s="101"/>
      <c r="H709" s="101"/>
      <c r="J709" s="103"/>
    </row>
    <row r="710" spans="1:10" x14ac:dyDescent="0.25">
      <c r="A710" s="101"/>
      <c r="C710" s="103"/>
      <c r="D710" s="102"/>
      <c r="E710" s="103"/>
      <c r="F710" s="101"/>
      <c r="G710" s="101"/>
      <c r="H710" s="101"/>
      <c r="J710" s="103"/>
    </row>
    <row r="711" spans="1:10" x14ac:dyDescent="0.25">
      <c r="A711" s="101"/>
      <c r="C711" s="103"/>
      <c r="D711" s="102"/>
      <c r="E711" s="103"/>
      <c r="F711" s="101"/>
      <c r="G711" s="101"/>
      <c r="H711" s="101"/>
      <c r="J711" s="103"/>
    </row>
    <row r="712" spans="1:10" x14ac:dyDescent="0.25">
      <c r="A712" s="101"/>
      <c r="C712" s="103"/>
      <c r="D712" s="102"/>
      <c r="E712" s="103"/>
      <c r="F712" s="101"/>
      <c r="G712" s="101"/>
      <c r="H712" s="101"/>
      <c r="J712" s="103"/>
    </row>
    <row r="713" spans="1:10" x14ac:dyDescent="0.25">
      <c r="A713" s="101"/>
      <c r="C713" s="103"/>
      <c r="D713" s="102"/>
      <c r="E713" s="103"/>
      <c r="F713" s="101"/>
      <c r="G713" s="101"/>
      <c r="H713" s="101"/>
      <c r="J713" s="103"/>
    </row>
    <row r="714" spans="1:10" x14ac:dyDescent="0.25">
      <c r="A714" s="101"/>
      <c r="C714" s="103"/>
      <c r="D714" s="102"/>
      <c r="E714" s="103"/>
      <c r="F714" s="101"/>
      <c r="G714" s="101"/>
      <c r="H714" s="101"/>
      <c r="J714" s="103"/>
    </row>
    <row r="715" spans="1:10" x14ac:dyDescent="0.25">
      <c r="A715" s="101"/>
      <c r="C715" s="103"/>
      <c r="D715" s="102"/>
      <c r="E715" s="103"/>
      <c r="F715" s="101"/>
      <c r="G715" s="101"/>
      <c r="H715" s="101"/>
      <c r="J715" s="103"/>
    </row>
    <row r="716" spans="1:10" x14ac:dyDescent="0.25">
      <c r="A716" s="101"/>
      <c r="C716" s="103"/>
      <c r="D716" s="102"/>
      <c r="E716" s="103"/>
      <c r="F716" s="101"/>
      <c r="G716" s="101"/>
      <c r="H716" s="101"/>
      <c r="J716" s="103"/>
    </row>
    <row r="717" spans="1:10" x14ac:dyDescent="0.25">
      <c r="A717" s="101"/>
      <c r="C717" s="103"/>
      <c r="D717" s="102"/>
      <c r="E717" s="103"/>
      <c r="F717" s="101"/>
      <c r="G717" s="101"/>
      <c r="H717" s="101"/>
      <c r="J717" s="103"/>
    </row>
    <row r="718" spans="1:10" x14ac:dyDescent="0.25">
      <c r="A718" s="101"/>
      <c r="C718" s="103"/>
      <c r="D718" s="102"/>
      <c r="E718" s="103"/>
      <c r="F718" s="101"/>
      <c r="G718" s="101"/>
      <c r="H718" s="101"/>
      <c r="J718" s="103"/>
    </row>
    <row r="719" spans="1:10" x14ac:dyDescent="0.25">
      <c r="A719" s="101"/>
      <c r="C719" s="103"/>
      <c r="D719" s="102"/>
      <c r="E719" s="103"/>
      <c r="F719" s="101"/>
      <c r="G719" s="101"/>
      <c r="H719" s="101"/>
      <c r="J719" s="103"/>
    </row>
    <row r="720" spans="1:10" x14ac:dyDescent="0.25">
      <c r="A720" s="101"/>
      <c r="C720" s="103"/>
      <c r="D720" s="102"/>
      <c r="E720" s="103"/>
      <c r="F720" s="101"/>
      <c r="G720" s="101"/>
      <c r="H720" s="101"/>
      <c r="J720" s="103"/>
    </row>
    <row r="721" spans="1:10" x14ac:dyDescent="0.25">
      <c r="A721" s="101"/>
      <c r="C721" s="103"/>
      <c r="D721" s="102"/>
      <c r="E721" s="103"/>
      <c r="F721" s="101"/>
      <c r="G721" s="101"/>
      <c r="H721" s="101"/>
      <c r="J721" s="103"/>
    </row>
    <row r="722" spans="1:10" x14ac:dyDescent="0.25">
      <c r="A722" s="101"/>
      <c r="C722" s="103"/>
      <c r="D722" s="102"/>
      <c r="E722" s="103"/>
      <c r="F722" s="101"/>
      <c r="G722" s="101"/>
      <c r="H722" s="101"/>
      <c r="J722" s="103"/>
    </row>
    <row r="723" spans="1:10" x14ac:dyDescent="0.25">
      <c r="A723" s="101"/>
      <c r="C723" s="103"/>
      <c r="D723" s="102"/>
      <c r="E723" s="103"/>
      <c r="F723" s="101"/>
      <c r="G723" s="101"/>
      <c r="H723" s="101"/>
      <c r="J723" s="103"/>
    </row>
    <row r="724" spans="1:10" x14ac:dyDescent="0.25">
      <c r="A724" s="101"/>
      <c r="C724" s="103"/>
      <c r="D724" s="102"/>
      <c r="E724" s="103"/>
      <c r="F724" s="101"/>
      <c r="G724" s="101"/>
      <c r="H724" s="101"/>
      <c r="J724" s="103"/>
    </row>
    <row r="725" spans="1:10" x14ac:dyDescent="0.25">
      <c r="A725" s="101"/>
      <c r="C725" s="103"/>
      <c r="D725" s="102"/>
      <c r="E725" s="103"/>
      <c r="F725" s="101"/>
      <c r="G725" s="101"/>
      <c r="H725" s="101"/>
      <c r="J725" s="103"/>
    </row>
    <row r="726" spans="1:10" x14ac:dyDescent="0.25">
      <c r="A726" s="101"/>
      <c r="C726" s="103"/>
      <c r="D726" s="102"/>
      <c r="E726" s="103"/>
      <c r="F726" s="101"/>
      <c r="G726" s="101"/>
      <c r="H726" s="101"/>
      <c r="J726" s="103"/>
    </row>
    <row r="727" spans="1:10" x14ac:dyDescent="0.25">
      <c r="A727" s="101"/>
      <c r="C727" s="103"/>
      <c r="D727" s="102"/>
      <c r="E727" s="103"/>
      <c r="F727" s="101"/>
      <c r="G727" s="101"/>
      <c r="H727" s="101"/>
      <c r="J727" s="103"/>
    </row>
    <row r="728" spans="1:10" x14ac:dyDescent="0.25">
      <c r="A728" s="101"/>
      <c r="C728" s="103"/>
      <c r="D728" s="102"/>
      <c r="E728" s="103"/>
      <c r="F728" s="101"/>
      <c r="G728" s="101"/>
      <c r="H728" s="101"/>
      <c r="J728" s="103"/>
    </row>
    <row r="729" spans="1:10" x14ac:dyDescent="0.25">
      <c r="A729" s="101"/>
      <c r="C729" s="103"/>
      <c r="D729" s="102"/>
      <c r="E729" s="103"/>
      <c r="F729" s="101"/>
      <c r="G729" s="101"/>
      <c r="H729" s="101"/>
      <c r="J729" s="103"/>
    </row>
    <row r="730" spans="1:10" x14ac:dyDescent="0.25">
      <c r="A730" s="101"/>
      <c r="C730" s="103"/>
      <c r="D730" s="102"/>
      <c r="E730" s="103"/>
      <c r="F730" s="101"/>
      <c r="G730" s="101"/>
      <c r="H730" s="101"/>
      <c r="J730" s="103"/>
    </row>
    <row r="731" spans="1:10" x14ac:dyDescent="0.25">
      <c r="A731" s="101"/>
      <c r="C731" s="103"/>
      <c r="D731" s="102"/>
      <c r="E731" s="103"/>
      <c r="F731" s="101"/>
      <c r="G731" s="101"/>
      <c r="H731" s="101"/>
      <c r="J731" s="103"/>
    </row>
    <row r="732" spans="1:10" x14ac:dyDescent="0.25">
      <c r="A732" s="101"/>
      <c r="C732" s="103"/>
      <c r="D732" s="102"/>
      <c r="E732" s="103"/>
      <c r="F732" s="101"/>
      <c r="G732" s="101"/>
      <c r="H732" s="101"/>
      <c r="J732" s="103"/>
    </row>
    <row r="733" spans="1:10" x14ac:dyDescent="0.25">
      <c r="A733" s="101"/>
      <c r="C733" s="103"/>
      <c r="D733" s="102"/>
      <c r="E733" s="103"/>
      <c r="F733" s="101"/>
      <c r="G733" s="101"/>
      <c r="H733" s="101"/>
      <c r="J733" s="103"/>
    </row>
    <row r="734" spans="1:10" x14ac:dyDescent="0.25">
      <c r="A734" s="101"/>
      <c r="C734" s="103"/>
      <c r="D734" s="102"/>
      <c r="E734" s="103"/>
      <c r="F734" s="101"/>
      <c r="G734" s="101"/>
      <c r="H734" s="101"/>
      <c r="J734" s="103"/>
    </row>
    <row r="735" spans="1:10" x14ac:dyDescent="0.25">
      <c r="A735" s="101"/>
      <c r="C735" s="103"/>
      <c r="D735" s="102"/>
      <c r="E735" s="103"/>
      <c r="F735" s="101"/>
      <c r="G735" s="101"/>
      <c r="H735" s="101"/>
      <c r="J735" s="103"/>
    </row>
    <row r="736" spans="1:10" x14ac:dyDescent="0.25">
      <c r="A736" s="101"/>
      <c r="C736" s="103"/>
      <c r="D736" s="102"/>
      <c r="E736" s="103"/>
      <c r="F736" s="101"/>
      <c r="G736" s="101"/>
      <c r="H736" s="101"/>
      <c r="J736" s="103"/>
    </row>
    <row r="737" spans="1:10" x14ac:dyDescent="0.25">
      <c r="A737" s="101"/>
      <c r="C737" s="103"/>
      <c r="D737" s="102"/>
      <c r="E737" s="103"/>
      <c r="F737" s="101"/>
      <c r="G737" s="101"/>
      <c r="H737" s="101"/>
      <c r="J737" s="103"/>
    </row>
    <row r="738" spans="1:10" x14ac:dyDescent="0.25">
      <c r="A738" s="101"/>
      <c r="C738" s="103"/>
      <c r="D738" s="102"/>
      <c r="E738" s="103"/>
      <c r="F738" s="101"/>
      <c r="G738" s="101"/>
      <c r="H738" s="101"/>
      <c r="J738" s="103"/>
    </row>
    <row r="739" spans="1:10" x14ac:dyDescent="0.25">
      <c r="A739" s="101"/>
      <c r="C739" s="103"/>
      <c r="D739" s="102"/>
      <c r="E739" s="103"/>
      <c r="F739" s="101"/>
      <c r="G739" s="101"/>
      <c r="H739" s="101"/>
      <c r="J739" s="103"/>
    </row>
    <row r="740" spans="1:10" x14ac:dyDescent="0.25">
      <c r="A740" s="101"/>
      <c r="C740" s="103"/>
      <c r="D740" s="102"/>
      <c r="E740" s="103"/>
      <c r="F740" s="101"/>
      <c r="G740" s="101"/>
      <c r="H740" s="101"/>
      <c r="J740" s="103"/>
    </row>
    <row r="741" spans="1:10" x14ac:dyDescent="0.25">
      <c r="A741" s="101"/>
      <c r="C741" s="103"/>
      <c r="D741" s="102"/>
      <c r="E741" s="103"/>
      <c r="F741" s="101"/>
      <c r="G741" s="101"/>
      <c r="H741" s="101"/>
      <c r="J741" s="103"/>
    </row>
    <row r="742" spans="1:10" x14ac:dyDescent="0.25">
      <c r="A742" s="101"/>
      <c r="C742" s="103"/>
      <c r="D742" s="102"/>
      <c r="E742" s="103"/>
      <c r="F742" s="101"/>
      <c r="G742" s="101"/>
      <c r="H742" s="101"/>
      <c r="J742" s="103"/>
    </row>
    <row r="743" spans="1:10" x14ac:dyDescent="0.25">
      <c r="A743" s="101"/>
      <c r="C743" s="103"/>
      <c r="D743" s="102"/>
      <c r="E743" s="103"/>
      <c r="F743" s="101"/>
      <c r="G743" s="101"/>
      <c r="H743" s="101"/>
      <c r="J743" s="103"/>
    </row>
    <row r="744" spans="1:10" x14ac:dyDescent="0.25">
      <c r="A744" s="101"/>
      <c r="C744" s="103"/>
      <c r="D744" s="102"/>
      <c r="E744" s="103"/>
      <c r="F744" s="101"/>
      <c r="G744" s="101"/>
      <c r="H744" s="101"/>
      <c r="J744" s="103"/>
    </row>
    <row r="745" spans="1:10" x14ac:dyDescent="0.25">
      <c r="A745" s="101"/>
      <c r="C745" s="103"/>
      <c r="D745" s="102"/>
      <c r="E745" s="103"/>
      <c r="F745" s="101"/>
      <c r="G745" s="101"/>
      <c r="H745" s="101"/>
      <c r="J745" s="103"/>
    </row>
    <row r="746" spans="1:10" x14ac:dyDescent="0.25">
      <c r="A746" s="101"/>
      <c r="C746" s="103"/>
      <c r="D746" s="102"/>
      <c r="E746" s="103"/>
      <c r="F746" s="101"/>
      <c r="G746" s="101"/>
      <c r="H746" s="101"/>
      <c r="J746" s="103"/>
    </row>
    <row r="747" spans="1:10" x14ac:dyDescent="0.25">
      <c r="A747" s="101"/>
      <c r="C747" s="103"/>
      <c r="D747" s="102"/>
      <c r="E747" s="103"/>
      <c r="F747" s="101"/>
      <c r="G747" s="101"/>
      <c r="H747" s="101"/>
      <c r="J747" s="103"/>
    </row>
    <row r="748" spans="1:10" x14ac:dyDescent="0.25">
      <c r="A748" s="101"/>
      <c r="C748" s="103"/>
      <c r="D748" s="102"/>
      <c r="E748" s="103"/>
      <c r="F748" s="101"/>
      <c r="G748" s="101"/>
      <c r="H748" s="101"/>
      <c r="J748" s="103"/>
    </row>
    <row r="749" spans="1:10" x14ac:dyDescent="0.25">
      <c r="A749" s="101"/>
      <c r="C749" s="103"/>
      <c r="D749" s="102"/>
      <c r="E749" s="103"/>
      <c r="F749" s="101"/>
      <c r="G749" s="101"/>
      <c r="H749" s="101"/>
      <c r="J749" s="103"/>
    </row>
    <row r="750" spans="1:10" x14ac:dyDescent="0.25">
      <c r="A750" s="101"/>
      <c r="C750" s="103"/>
      <c r="D750" s="102"/>
      <c r="E750" s="103"/>
      <c r="F750" s="101"/>
      <c r="G750" s="101"/>
      <c r="H750" s="101"/>
      <c r="J750" s="103"/>
    </row>
    <row r="751" spans="1:10" x14ac:dyDescent="0.25">
      <c r="A751" s="101"/>
      <c r="C751" s="103"/>
      <c r="D751" s="102"/>
      <c r="E751" s="103"/>
      <c r="F751" s="101"/>
      <c r="G751" s="101"/>
      <c r="H751" s="101"/>
      <c r="J751" s="103"/>
    </row>
    <row r="752" spans="1:10" x14ac:dyDescent="0.25">
      <c r="A752" s="101"/>
      <c r="C752" s="103"/>
      <c r="D752" s="102"/>
      <c r="E752" s="103"/>
      <c r="F752" s="101"/>
      <c r="G752" s="101"/>
      <c r="H752" s="101"/>
      <c r="J752" s="103"/>
    </row>
    <row r="753" spans="1:10" x14ac:dyDescent="0.25">
      <c r="A753" s="101"/>
      <c r="C753" s="103"/>
      <c r="D753" s="102"/>
      <c r="E753" s="103"/>
      <c r="F753" s="101"/>
      <c r="G753" s="101"/>
      <c r="H753" s="101"/>
      <c r="J753" s="103"/>
    </row>
    <row r="754" spans="1:10" x14ac:dyDescent="0.25">
      <c r="A754" s="101"/>
      <c r="C754" s="103"/>
      <c r="D754" s="102"/>
      <c r="E754" s="103"/>
      <c r="F754" s="101"/>
      <c r="G754" s="101"/>
      <c r="H754" s="101"/>
      <c r="J754" s="103"/>
    </row>
    <row r="755" spans="1:10" x14ac:dyDescent="0.25">
      <c r="A755" s="101"/>
      <c r="C755" s="103"/>
      <c r="D755" s="102"/>
      <c r="E755" s="103"/>
      <c r="F755" s="101"/>
      <c r="G755" s="101"/>
      <c r="H755" s="101"/>
      <c r="J755" s="103"/>
    </row>
    <row r="756" spans="1:10" x14ac:dyDescent="0.25">
      <c r="A756" s="101"/>
      <c r="C756" s="103"/>
      <c r="D756" s="102"/>
      <c r="E756" s="103"/>
      <c r="F756" s="101"/>
      <c r="G756" s="101"/>
      <c r="H756" s="101"/>
      <c r="J756" s="103"/>
    </row>
    <row r="757" spans="1:10" x14ac:dyDescent="0.25">
      <c r="A757" s="101"/>
      <c r="C757" s="103"/>
      <c r="D757" s="102"/>
      <c r="E757" s="103"/>
      <c r="F757" s="101"/>
      <c r="G757" s="101"/>
      <c r="H757" s="101"/>
      <c r="J757" s="103"/>
    </row>
    <row r="758" spans="1:10" x14ac:dyDescent="0.25">
      <c r="A758" s="101"/>
      <c r="C758" s="103"/>
      <c r="D758" s="102"/>
      <c r="E758" s="103"/>
      <c r="F758" s="101"/>
      <c r="G758" s="101"/>
      <c r="H758" s="101"/>
      <c r="J758" s="103"/>
    </row>
    <row r="759" spans="1:10" x14ac:dyDescent="0.25">
      <c r="A759" s="101"/>
      <c r="C759" s="103"/>
      <c r="D759" s="102"/>
      <c r="E759" s="103"/>
      <c r="F759" s="101"/>
      <c r="G759" s="101"/>
      <c r="H759" s="101"/>
      <c r="J759" s="103"/>
    </row>
    <row r="760" spans="1:10" x14ac:dyDescent="0.25">
      <c r="A760" s="101"/>
      <c r="C760" s="103"/>
      <c r="D760" s="102"/>
      <c r="E760" s="103"/>
      <c r="F760" s="101"/>
      <c r="G760" s="101"/>
      <c r="H760" s="101"/>
      <c r="J760" s="103"/>
    </row>
    <row r="761" spans="1:10" x14ac:dyDescent="0.25">
      <c r="A761" s="101"/>
      <c r="C761" s="103"/>
      <c r="D761" s="102"/>
      <c r="E761" s="103"/>
      <c r="F761" s="101"/>
      <c r="G761" s="101"/>
      <c r="H761" s="101"/>
      <c r="J761" s="103"/>
    </row>
    <row r="762" spans="1:10" x14ac:dyDescent="0.25">
      <c r="A762" s="101"/>
      <c r="C762" s="103"/>
      <c r="D762" s="102"/>
      <c r="E762" s="103"/>
      <c r="F762" s="101"/>
      <c r="G762" s="101"/>
      <c r="H762" s="101"/>
      <c r="J762" s="103"/>
    </row>
    <row r="763" spans="1:10" x14ac:dyDescent="0.25">
      <c r="A763" s="101"/>
      <c r="C763" s="103"/>
      <c r="D763" s="102"/>
      <c r="E763" s="103"/>
      <c r="F763" s="101"/>
      <c r="G763" s="101"/>
      <c r="H763" s="101"/>
      <c r="J763" s="103"/>
    </row>
    <row r="764" spans="1:10" x14ac:dyDescent="0.25">
      <c r="A764" s="101"/>
      <c r="C764" s="103"/>
      <c r="D764" s="102"/>
      <c r="E764" s="103"/>
      <c r="F764" s="101"/>
      <c r="G764" s="101"/>
      <c r="H764" s="101"/>
      <c r="J764" s="103"/>
    </row>
    <row r="765" spans="1:10" x14ac:dyDescent="0.25">
      <c r="A765" s="101"/>
      <c r="C765" s="103"/>
      <c r="D765" s="102"/>
      <c r="E765" s="103"/>
      <c r="F765" s="101"/>
      <c r="G765" s="101"/>
      <c r="H765" s="101"/>
      <c r="J765" s="103"/>
    </row>
    <row r="766" spans="1:10" x14ac:dyDescent="0.25">
      <c r="A766" s="101"/>
      <c r="C766" s="103"/>
      <c r="D766" s="102"/>
      <c r="E766" s="103"/>
      <c r="F766" s="101"/>
      <c r="G766" s="101"/>
      <c r="H766" s="101"/>
      <c r="J766" s="103"/>
    </row>
    <row r="767" spans="1:10" x14ac:dyDescent="0.25">
      <c r="A767" s="101"/>
      <c r="C767" s="103"/>
      <c r="D767" s="102"/>
      <c r="E767" s="103"/>
      <c r="F767" s="101"/>
      <c r="G767" s="101"/>
      <c r="H767" s="101"/>
      <c r="J767" s="103"/>
    </row>
    <row r="768" spans="1:10" x14ac:dyDescent="0.25">
      <c r="A768" s="101"/>
      <c r="C768" s="103"/>
      <c r="D768" s="102"/>
      <c r="E768" s="103"/>
      <c r="F768" s="101"/>
      <c r="G768" s="101"/>
      <c r="H768" s="101"/>
      <c r="J768" s="103"/>
    </row>
    <row r="769" spans="1:10" x14ac:dyDescent="0.25">
      <c r="A769" s="101"/>
      <c r="C769" s="103"/>
      <c r="D769" s="102"/>
      <c r="E769" s="103"/>
      <c r="F769" s="101"/>
      <c r="G769" s="101"/>
      <c r="H769" s="101"/>
      <c r="J769" s="103"/>
    </row>
    <row r="770" spans="1:10" x14ac:dyDescent="0.25">
      <c r="A770" s="101"/>
      <c r="C770" s="103"/>
      <c r="D770" s="102"/>
      <c r="E770" s="103"/>
      <c r="F770" s="101"/>
      <c r="G770" s="101"/>
      <c r="H770" s="101"/>
      <c r="J770" s="103"/>
    </row>
    <row r="771" spans="1:10" x14ac:dyDescent="0.25">
      <c r="A771" s="101"/>
      <c r="C771" s="103"/>
      <c r="D771" s="102"/>
      <c r="E771" s="103"/>
      <c r="F771" s="101"/>
      <c r="G771" s="101"/>
      <c r="H771" s="101"/>
      <c r="J771" s="103"/>
    </row>
    <row r="772" spans="1:10" x14ac:dyDescent="0.25">
      <c r="A772" s="101"/>
      <c r="C772" s="103"/>
      <c r="D772" s="102"/>
      <c r="E772" s="103"/>
      <c r="F772" s="101"/>
      <c r="G772" s="101"/>
      <c r="H772" s="101"/>
      <c r="J772" s="103"/>
    </row>
    <row r="773" spans="1:10" x14ac:dyDescent="0.25">
      <c r="A773" s="101"/>
      <c r="C773" s="103"/>
      <c r="D773" s="102"/>
      <c r="E773" s="103"/>
      <c r="F773" s="101"/>
      <c r="G773" s="101"/>
      <c r="H773" s="101"/>
      <c r="J773" s="103"/>
    </row>
    <row r="774" spans="1:10" x14ac:dyDescent="0.25">
      <c r="A774" s="101"/>
      <c r="C774" s="103"/>
      <c r="D774" s="102"/>
      <c r="E774" s="103"/>
      <c r="F774" s="101"/>
      <c r="G774" s="101"/>
      <c r="H774" s="101"/>
      <c r="J774" s="103"/>
    </row>
    <row r="775" spans="1:10" x14ac:dyDescent="0.25">
      <c r="A775" s="101"/>
      <c r="C775" s="103"/>
      <c r="D775" s="102"/>
      <c r="E775" s="103"/>
      <c r="F775" s="101"/>
      <c r="G775" s="101"/>
      <c r="H775" s="101"/>
      <c r="J775" s="103"/>
    </row>
    <row r="776" spans="1:10" x14ac:dyDescent="0.25">
      <c r="A776" s="101"/>
      <c r="C776" s="103"/>
      <c r="D776" s="102"/>
      <c r="E776" s="103"/>
      <c r="F776" s="101"/>
      <c r="G776" s="101"/>
      <c r="H776" s="101"/>
      <c r="J776" s="103"/>
    </row>
    <row r="777" spans="1:10" x14ac:dyDescent="0.25">
      <c r="A777" s="101"/>
      <c r="C777" s="103"/>
      <c r="D777" s="102"/>
      <c r="E777" s="103"/>
      <c r="F777" s="101"/>
      <c r="G777" s="101"/>
      <c r="H777" s="101"/>
      <c r="J777" s="103"/>
    </row>
    <row r="778" spans="1:10" x14ac:dyDescent="0.25">
      <c r="A778" s="101"/>
      <c r="C778" s="103"/>
      <c r="D778" s="102"/>
      <c r="E778" s="103"/>
      <c r="F778" s="101"/>
      <c r="G778" s="101"/>
      <c r="H778" s="101"/>
      <c r="J778" s="103"/>
    </row>
    <row r="779" spans="1:10" x14ac:dyDescent="0.25">
      <c r="A779" s="101"/>
      <c r="C779" s="103"/>
      <c r="D779" s="102"/>
      <c r="E779" s="103"/>
      <c r="F779" s="101"/>
      <c r="G779" s="101"/>
      <c r="H779" s="101"/>
      <c r="J779" s="103"/>
    </row>
    <row r="780" spans="1:10" x14ac:dyDescent="0.25">
      <c r="A780" s="101"/>
      <c r="C780" s="103"/>
      <c r="D780" s="102"/>
      <c r="E780" s="103"/>
      <c r="F780" s="101"/>
      <c r="G780" s="101"/>
      <c r="H780" s="101"/>
      <c r="J780" s="103"/>
    </row>
    <row r="781" spans="1:10" x14ac:dyDescent="0.25">
      <c r="A781" s="101"/>
      <c r="C781" s="103"/>
      <c r="D781" s="102"/>
      <c r="E781" s="103"/>
      <c r="F781" s="101"/>
      <c r="G781" s="101"/>
      <c r="H781" s="101"/>
      <c r="J781" s="103"/>
    </row>
    <row r="782" spans="1:10" x14ac:dyDescent="0.25">
      <c r="A782" s="101"/>
      <c r="C782" s="103"/>
      <c r="D782" s="102"/>
      <c r="E782" s="103"/>
      <c r="F782" s="101"/>
      <c r="G782" s="101"/>
      <c r="H782" s="101"/>
      <c r="J782" s="103"/>
    </row>
    <row r="783" spans="1:10" x14ac:dyDescent="0.25">
      <c r="A783" s="101"/>
      <c r="C783" s="103"/>
      <c r="D783" s="102"/>
      <c r="E783" s="103"/>
      <c r="F783" s="101"/>
      <c r="G783" s="101"/>
      <c r="H783" s="101"/>
      <c r="J783" s="103"/>
    </row>
    <row r="784" spans="1:10" x14ac:dyDescent="0.25">
      <c r="A784" s="101"/>
      <c r="C784" s="103"/>
      <c r="D784" s="102"/>
      <c r="E784" s="103"/>
      <c r="F784" s="101"/>
      <c r="G784" s="101"/>
      <c r="H784" s="101"/>
      <c r="J784" s="103"/>
    </row>
    <row r="785" spans="1:10" x14ac:dyDescent="0.25">
      <c r="A785" s="101"/>
      <c r="C785" s="103"/>
      <c r="D785" s="102"/>
      <c r="E785" s="103"/>
      <c r="F785" s="101"/>
      <c r="G785" s="101"/>
      <c r="H785" s="101"/>
      <c r="J785" s="103"/>
    </row>
    <row r="786" spans="1:10" x14ac:dyDescent="0.25">
      <c r="A786" s="101"/>
      <c r="C786" s="103"/>
      <c r="D786" s="102"/>
      <c r="E786" s="103"/>
      <c r="F786" s="101"/>
      <c r="G786" s="101"/>
      <c r="H786" s="101"/>
      <c r="J786" s="103"/>
    </row>
    <row r="787" spans="1:10" x14ac:dyDescent="0.25">
      <c r="A787" s="101"/>
      <c r="C787" s="103"/>
      <c r="D787" s="102"/>
      <c r="E787" s="103"/>
      <c r="F787" s="101"/>
      <c r="G787" s="101"/>
      <c r="H787" s="101"/>
      <c r="J787" s="103"/>
    </row>
    <row r="788" spans="1:10" x14ac:dyDescent="0.25">
      <c r="A788" s="101"/>
      <c r="C788" s="103"/>
      <c r="D788" s="102"/>
      <c r="E788" s="103"/>
      <c r="F788" s="101"/>
      <c r="G788" s="101"/>
      <c r="H788" s="101"/>
      <c r="J788" s="103"/>
    </row>
    <row r="789" spans="1:10" x14ac:dyDescent="0.25">
      <c r="A789" s="101"/>
      <c r="C789" s="103"/>
      <c r="D789" s="102"/>
      <c r="E789" s="103"/>
      <c r="F789" s="101"/>
      <c r="G789" s="101"/>
      <c r="H789" s="101"/>
      <c r="J789" s="103"/>
    </row>
    <row r="790" spans="1:10" x14ac:dyDescent="0.25">
      <c r="A790" s="101"/>
      <c r="C790" s="103"/>
      <c r="D790" s="102"/>
      <c r="E790" s="103"/>
      <c r="F790" s="101"/>
      <c r="G790" s="101"/>
      <c r="H790" s="101"/>
      <c r="J790" s="103"/>
    </row>
    <row r="791" spans="1:10" x14ac:dyDescent="0.25">
      <c r="A791" s="101"/>
      <c r="C791" s="103"/>
      <c r="D791" s="102"/>
      <c r="E791" s="103"/>
      <c r="F791" s="101"/>
      <c r="G791" s="101"/>
      <c r="H791" s="101"/>
      <c r="J791" s="103"/>
    </row>
    <row r="792" spans="1:10" x14ac:dyDescent="0.25">
      <c r="A792" s="101"/>
      <c r="C792" s="103"/>
      <c r="D792" s="102"/>
      <c r="E792" s="103"/>
      <c r="F792" s="101"/>
      <c r="G792" s="101"/>
      <c r="H792" s="101"/>
      <c r="J792" s="103"/>
    </row>
    <row r="793" spans="1:10" x14ac:dyDescent="0.25">
      <c r="A793" s="101"/>
      <c r="C793" s="103"/>
      <c r="D793" s="102"/>
      <c r="E793" s="103"/>
      <c r="F793" s="101"/>
      <c r="G793" s="101"/>
      <c r="H793" s="101"/>
      <c r="J793" s="103"/>
    </row>
    <row r="794" spans="1:10" x14ac:dyDescent="0.25">
      <c r="A794" s="101"/>
      <c r="C794" s="103"/>
      <c r="D794" s="102"/>
      <c r="E794" s="103"/>
      <c r="F794" s="101"/>
      <c r="G794" s="101"/>
      <c r="H794" s="101"/>
      <c r="J794" s="103"/>
    </row>
    <row r="795" spans="1:10" x14ac:dyDescent="0.25">
      <c r="A795" s="101"/>
      <c r="C795" s="103"/>
      <c r="D795" s="102"/>
      <c r="E795" s="103"/>
      <c r="F795" s="101"/>
      <c r="G795" s="101"/>
      <c r="H795" s="101"/>
      <c r="J795" s="103"/>
    </row>
    <row r="796" spans="1:10" x14ac:dyDescent="0.25">
      <c r="A796" s="101"/>
      <c r="C796" s="103"/>
      <c r="D796" s="102"/>
      <c r="E796" s="103"/>
      <c r="F796" s="101"/>
      <c r="G796" s="101"/>
      <c r="H796" s="101"/>
      <c r="J796" s="103"/>
    </row>
    <row r="797" spans="1:10" x14ac:dyDescent="0.25">
      <c r="A797" s="101"/>
      <c r="C797" s="103"/>
      <c r="D797" s="102"/>
      <c r="E797" s="103"/>
      <c r="F797" s="101"/>
      <c r="G797" s="101"/>
      <c r="H797" s="101"/>
      <c r="J797" s="103"/>
    </row>
    <row r="798" spans="1:10" x14ac:dyDescent="0.25">
      <c r="A798" s="101"/>
      <c r="C798" s="103"/>
      <c r="D798" s="102"/>
      <c r="E798" s="103"/>
      <c r="F798" s="101"/>
      <c r="G798" s="101"/>
      <c r="H798" s="101"/>
      <c r="J798" s="103"/>
    </row>
    <row r="799" spans="1:10" x14ac:dyDescent="0.25">
      <c r="A799" s="101"/>
      <c r="C799" s="103"/>
      <c r="D799" s="102"/>
      <c r="E799" s="103"/>
      <c r="F799" s="101"/>
      <c r="G799" s="101"/>
      <c r="H799" s="101"/>
      <c r="J799" s="103"/>
    </row>
    <row r="800" spans="1:10" x14ac:dyDescent="0.25">
      <c r="A800" s="101"/>
      <c r="C800" s="103"/>
      <c r="D800" s="102"/>
      <c r="E800" s="103"/>
      <c r="F800" s="101"/>
      <c r="G800" s="101"/>
      <c r="H800" s="101"/>
      <c r="J800" s="103"/>
    </row>
    <row r="801" spans="1:10" x14ac:dyDescent="0.25">
      <c r="A801" s="101"/>
      <c r="C801" s="103"/>
      <c r="D801" s="102"/>
      <c r="E801" s="103"/>
      <c r="F801" s="101"/>
      <c r="G801" s="101"/>
      <c r="H801" s="101"/>
      <c r="J801" s="103"/>
    </row>
    <row r="802" spans="1:10" x14ac:dyDescent="0.25">
      <c r="A802" s="101"/>
      <c r="C802" s="103"/>
      <c r="D802" s="102"/>
      <c r="E802" s="103"/>
      <c r="F802" s="101"/>
      <c r="G802" s="101"/>
      <c r="H802" s="101"/>
      <c r="J802" s="103"/>
    </row>
    <row r="803" spans="1:10" x14ac:dyDescent="0.25">
      <c r="A803" s="101"/>
      <c r="C803" s="103"/>
      <c r="D803" s="102"/>
      <c r="E803" s="103"/>
      <c r="F803" s="101"/>
      <c r="G803" s="101"/>
      <c r="H803" s="101"/>
      <c r="J803" s="103"/>
    </row>
    <row r="804" spans="1:10" x14ac:dyDescent="0.25">
      <c r="A804" s="101"/>
      <c r="C804" s="103"/>
      <c r="D804" s="102"/>
      <c r="E804" s="103"/>
      <c r="F804" s="101"/>
      <c r="G804" s="101"/>
      <c r="H804" s="101"/>
      <c r="J804" s="103"/>
    </row>
    <row r="805" spans="1:10" x14ac:dyDescent="0.25">
      <c r="A805" s="101"/>
      <c r="C805" s="103"/>
      <c r="D805" s="102"/>
      <c r="E805" s="103"/>
      <c r="F805" s="101"/>
      <c r="G805" s="101"/>
      <c r="H805" s="101"/>
      <c r="J805" s="103"/>
    </row>
    <row r="806" spans="1:10" x14ac:dyDescent="0.25">
      <c r="A806" s="101"/>
      <c r="C806" s="103"/>
      <c r="D806" s="102"/>
      <c r="E806" s="103"/>
      <c r="F806" s="101"/>
      <c r="G806" s="101"/>
      <c r="H806" s="101"/>
      <c r="J806" s="103"/>
    </row>
    <row r="807" spans="1:10" x14ac:dyDescent="0.25">
      <c r="A807" s="101"/>
      <c r="C807" s="103"/>
      <c r="D807" s="102"/>
      <c r="E807" s="103"/>
      <c r="F807" s="101"/>
      <c r="G807" s="101"/>
      <c r="H807" s="101"/>
      <c r="J807" s="103"/>
    </row>
    <row r="808" spans="1:10" x14ac:dyDescent="0.25">
      <c r="A808" s="101"/>
      <c r="C808" s="103"/>
      <c r="D808" s="102"/>
      <c r="E808" s="103"/>
      <c r="F808" s="101"/>
      <c r="G808" s="101"/>
      <c r="H808" s="101"/>
      <c r="J808" s="103"/>
    </row>
    <row r="809" spans="1:10" x14ac:dyDescent="0.25">
      <c r="A809" s="101"/>
      <c r="C809" s="103"/>
      <c r="D809" s="102"/>
      <c r="E809" s="103"/>
      <c r="F809" s="101"/>
      <c r="G809" s="101"/>
      <c r="H809" s="101"/>
      <c r="J809" s="103"/>
    </row>
    <row r="810" spans="1:10" x14ac:dyDescent="0.25">
      <c r="A810" s="101"/>
      <c r="C810" s="103"/>
      <c r="D810" s="102"/>
      <c r="E810" s="103"/>
      <c r="F810" s="101"/>
      <c r="G810" s="101"/>
      <c r="H810" s="101"/>
      <c r="J810" s="103"/>
    </row>
    <row r="811" spans="1:10" x14ac:dyDescent="0.25">
      <c r="A811" s="101"/>
      <c r="C811" s="103"/>
      <c r="D811" s="102"/>
      <c r="E811" s="103"/>
      <c r="F811" s="101"/>
      <c r="G811" s="101"/>
      <c r="H811" s="101"/>
      <c r="J811" s="103"/>
    </row>
    <row r="812" spans="1:10" x14ac:dyDescent="0.25">
      <c r="A812" s="101"/>
      <c r="C812" s="103"/>
      <c r="D812" s="102"/>
      <c r="E812" s="103"/>
      <c r="F812" s="101"/>
      <c r="G812" s="101"/>
      <c r="H812" s="101"/>
      <c r="J812" s="103"/>
    </row>
    <row r="813" spans="1:10" x14ac:dyDescent="0.25">
      <c r="A813" s="101"/>
      <c r="C813" s="103"/>
      <c r="D813" s="102"/>
      <c r="E813" s="103"/>
      <c r="F813" s="101"/>
      <c r="G813" s="101"/>
      <c r="H813" s="101"/>
      <c r="J813" s="103"/>
    </row>
    <row r="814" spans="1:10" x14ac:dyDescent="0.25">
      <c r="A814" s="101"/>
      <c r="C814" s="103"/>
      <c r="D814" s="102"/>
      <c r="E814" s="103"/>
      <c r="F814" s="101"/>
      <c r="G814" s="101"/>
      <c r="H814" s="101"/>
      <c r="J814" s="103"/>
    </row>
    <row r="815" spans="1:10" x14ac:dyDescent="0.25">
      <c r="A815" s="101"/>
      <c r="C815" s="103"/>
      <c r="D815" s="102"/>
      <c r="E815" s="103"/>
      <c r="F815" s="101"/>
      <c r="G815" s="101"/>
      <c r="H815" s="101"/>
      <c r="J815" s="103"/>
    </row>
    <row r="816" spans="1:10" x14ac:dyDescent="0.25">
      <c r="A816" s="101"/>
      <c r="C816" s="103"/>
      <c r="D816" s="102"/>
      <c r="E816" s="103"/>
      <c r="F816" s="101"/>
      <c r="G816" s="101"/>
      <c r="H816" s="101"/>
      <c r="J816" s="103"/>
    </row>
    <row r="817" spans="1:10" x14ac:dyDescent="0.25">
      <c r="A817" s="101"/>
      <c r="C817" s="103"/>
      <c r="D817" s="102"/>
      <c r="E817" s="103"/>
      <c r="F817" s="101"/>
      <c r="G817" s="101"/>
      <c r="H817" s="101"/>
      <c r="J817" s="103"/>
    </row>
    <row r="818" spans="1:10" x14ac:dyDescent="0.25">
      <c r="A818" s="101"/>
      <c r="C818" s="103"/>
      <c r="D818" s="102"/>
      <c r="E818" s="103"/>
      <c r="F818" s="101"/>
      <c r="G818" s="101"/>
      <c r="H818" s="101"/>
      <c r="J818" s="103"/>
    </row>
    <row r="819" spans="1:10" x14ac:dyDescent="0.25">
      <c r="A819" s="101"/>
      <c r="C819" s="103"/>
      <c r="D819" s="102"/>
      <c r="E819" s="103"/>
      <c r="F819" s="101"/>
      <c r="G819" s="101"/>
      <c r="H819" s="101"/>
      <c r="J819" s="103"/>
    </row>
    <row r="820" spans="1:10" x14ac:dyDescent="0.25">
      <c r="A820" s="101"/>
      <c r="C820" s="103"/>
      <c r="D820" s="102"/>
      <c r="E820" s="103"/>
      <c r="F820" s="101"/>
      <c r="G820" s="101"/>
      <c r="H820" s="101"/>
      <c r="J820" s="103"/>
    </row>
    <row r="821" spans="1:10" x14ac:dyDescent="0.25">
      <c r="A821" s="101"/>
      <c r="C821" s="103"/>
      <c r="D821" s="102"/>
      <c r="E821" s="103"/>
      <c r="F821" s="101"/>
      <c r="G821" s="101"/>
      <c r="H821" s="101"/>
      <c r="J821" s="103"/>
    </row>
    <row r="822" spans="1:10" x14ac:dyDescent="0.25">
      <c r="A822" s="101"/>
      <c r="C822" s="103"/>
      <c r="D822" s="102"/>
      <c r="E822" s="103"/>
      <c r="F822" s="101"/>
      <c r="G822" s="101"/>
      <c r="H822" s="101"/>
      <c r="J822" s="103"/>
    </row>
    <row r="823" spans="1:10" x14ac:dyDescent="0.25">
      <c r="A823" s="101"/>
      <c r="C823" s="103"/>
      <c r="D823" s="102"/>
      <c r="E823" s="103"/>
      <c r="F823" s="101"/>
      <c r="G823" s="101"/>
      <c r="H823" s="101"/>
      <c r="J823" s="103"/>
    </row>
    <row r="824" spans="1:10" x14ac:dyDescent="0.25">
      <c r="A824" s="101"/>
      <c r="C824" s="103"/>
      <c r="D824" s="102"/>
      <c r="E824" s="103"/>
      <c r="F824" s="101"/>
      <c r="G824" s="101"/>
      <c r="H824" s="101"/>
      <c r="J824" s="103"/>
    </row>
    <row r="825" spans="1:10" x14ac:dyDescent="0.25">
      <c r="A825" s="101"/>
      <c r="C825" s="103"/>
      <c r="D825" s="102"/>
      <c r="E825" s="103"/>
      <c r="F825" s="101"/>
      <c r="G825" s="101"/>
      <c r="H825" s="101"/>
      <c r="J825" s="103"/>
    </row>
    <row r="826" spans="1:10" x14ac:dyDescent="0.25">
      <c r="A826" s="101"/>
      <c r="C826" s="103"/>
      <c r="D826" s="102"/>
      <c r="E826" s="103"/>
      <c r="F826" s="101"/>
      <c r="G826" s="101"/>
      <c r="H826" s="101"/>
      <c r="J826" s="103"/>
    </row>
    <row r="827" spans="1:10" x14ac:dyDescent="0.25">
      <c r="A827" s="101"/>
      <c r="C827" s="103"/>
      <c r="D827" s="102"/>
      <c r="E827" s="103"/>
      <c r="F827" s="101"/>
      <c r="G827" s="101"/>
      <c r="H827" s="101"/>
      <c r="J827" s="103"/>
    </row>
    <row r="828" spans="1:10" x14ac:dyDescent="0.25">
      <c r="A828" s="101"/>
      <c r="C828" s="103"/>
      <c r="D828" s="102"/>
      <c r="E828" s="103"/>
      <c r="F828" s="101"/>
      <c r="G828" s="101"/>
      <c r="H828" s="101"/>
      <c r="J828" s="103"/>
    </row>
    <row r="829" spans="1:10" x14ac:dyDescent="0.25">
      <c r="A829" s="101"/>
      <c r="C829" s="103"/>
      <c r="D829" s="102"/>
      <c r="E829" s="103"/>
      <c r="F829" s="101"/>
      <c r="G829" s="101"/>
      <c r="H829" s="101"/>
      <c r="J829" s="103"/>
    </row>
    <row r="830" spans="1:10" x14ac:dyDescent="0.25">
      <c r="A830" s="101"/>
      <c r="C830" s="103"/>
      <c r="D830" s="102"/>
      <c r="E830" s="103"/>
      <c r="F830" s="101"/>
      <c r="G830" s="101"/>
      <c r="H830" s="101"/>
      <c r="J830" s="103"/>
    </row>
    <row r="831" spans="1:10" x14ac:dyDescent="0.25">
      <c r="A831" s="101"/>
      <c r="C831" s="103"/>
      <c r="D831" s="102"/>
      <c r="E831" s="103"/>
      <c r="F831" s="101"/>
      <c r="G831" s="101"/>
      <c r="H831" s="101"/>
      <c r="J831" s="103"/>
    </row>
    <row r="832" spans="1:10" x14ac:dyDescent="0.25">
      <c r="A832" s="101"/>
      <c r="C832" s="103"/>
      <c r="D832" s="102"/>
      <c r="E832" s="103"/>
      <c r="F832" s="101"/>
      <c r="G832" s="101"/>
      <c r="H832" s="101"/>
      <c r="J832" s="103"/>
    </row>
  </sheetData>
  <mergeCells count="46">
    <mergeCell ref="A188:A196"/>
    <mergeCell ref="A197:A203"/>
    <mergeCell ref="A204:A210"/>
    <mergeCell ref="A211:A222"/>
    <mergeCell ref="A271:A282"/>
    <mergeCell ref="A223:A236"/>
    <mergeCell ref="A237:A240"/>
    <mergeCell ref="A269:A270"/>
    <mergeCell ref="A258:A263"/>
    <mergeCell ref="A264:A268"/>
    <mergeCell ref="A179:A183"/>
    <mergeCell ref="A164:A166"/>
    <mergeCell ref="A101:A104"/>
    <mergeCell ref="A105:A120"/>
    <mergeCell ref="A184:A187"/>
    <mergeCell ref="A84:A100"/>
    <mergeCell ref="A144:A146"/>
    <mergeCell ref="A142:A143"/>
    <mergeCell ref="A167:A178"/>
    <mergeCell ref="A122:A141"/>
    <mergeCell ref="A147:A163"/>
    <mergeCell ref="B63:B68"/>
    <mergeCell ref="B78:B83"/>
    <mergeCell ref="A78:A83"/>
    <mergeCell ref="A69:A77"/>
    <mergeCell ref="A63:A68"/>
    <mergeCell ref="B69:B77"/>
    <mergeCell ref="B2:B25"/>
    <mergeCell ref="A2:A25"/>
    <mergeCell ref="B26:B29"/>
    <mergeCell ref="A26:A29"/>
    <mergeCell ref="B56:B60"/>
    <mergeCell ref="A56:A62"/>
    <mergeCell ref="B30:B55"/>
    <mergeCell ref="A30:A55"/>
    <mergeCell ref="B61:B62"/>
    <mergeCell ref="A292:A296"/>
    <mergeCell ref="A297:A299"/>
    <mergeCell ref="A241:A244"/>
    <mergeCell ref="J310:J311"/>
    <mergeCell ref="A245:A250"/>
    <mergeCell ref="A251:A257"/>
    <mergeCell ref="A283:A287"/>
    <mergeCell ref="A288:A291"/>
    <mergeCell ref="A304:A309"/>
    <mergeCell ref="A300:A303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ba34f41-bd7a-4d17-8d81-20a3aad32454">
      <UserInfo>
        <DisplayName>Yongqi Yan</DisplayName>
        <AccountId>12</AccountId>
        <AccountType/>
      </UserInfo>
      <UserInfo>
        <DisplayName>Yupeng Wang</DisplayName>
        <AccountId>94</AccountId>
        <AccountType/>
      </UserInfo>
      <UserInfo>
        <DisplayName>Kinkini Udara Jayasundara</DisplayName>
        <AccountId>156</AccountId>
        <AccountType/>
      </UserInfo>
      <UserInfo>
        <DisplayName>John Sargeant</DisplayName>
        <AccountId>172</AccountId>
        <AccountType/>
      </UserInfo>
    </SharedWithUsers>
    <TaxCatchAll xmlns="cba34f41-bd7a-4d17-8d81-20a3aad32454" xsi:nil="true"/>
    <lcf76f155ced4ddcb4097134ff3c332f xmlns="dd4e3198-d10c-42db-83c7-c2eaf85001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6FC37A494F44DB8B3E75F94CB4F0D" ma:contentTypeVersion="19" ma:contentTypeDescription="Create a new document." ma:contentTypeScope="" ma:versionID="a10dcf01d962aea955fe7aa162c993ec">
  <xsd:schema xmlns:xsd="http://www.w3.org/2001/XMLSchema" xmlns:xs="http://www.w3.org/2001/XMLSchema" xmlns:p="http://schemas.microsoft.com/office/2006/metadata/properties" xmlns:ns1="http://schemas.microsoft.com/sharepoint/v3" xmlns:ns2="dd4e3198-d10c-42db-83c7-c2eaf8500160" xmlns:ns3="cba34f41-bd7a-4d17-8d81-20a3aad32454" targetNamespace="http://schemas.microsoft.com/office/2006/metadata/properties" ma:root="true" ma:fieldsID="294a0bc8c66d5681679791596b39e2b0" ns1:_="" ns2:_="" ns3:_="">
    <xsd:import namespace="http://schemas.microsoft.com/sharepoint/v3"/>
    <xsd:import namespace="dd4e3198-d10c-42db-83c7-c2eaf8500160"/>
    <xsd:import namespace="cba34f41-bd7a-4d17-8d81-20a3aad3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e3198-d10c-42db-83c7-c2eaf8500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38e8a7-a63a-4c57-a626-6b25e60d9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34f41-bd7a-4d17-8d81-20a3aad3245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0dd9075-fc12-4a69-88f1-0add256cc4e0}" ma:internalName="TaxCatchAll" ma:showField="CatchAllData" ma:web="cba34f41-bd7a-4d17-8d81-20a3aad32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CBBCBF-7721-4CFC-AF36-91234EB1C3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E3B5B5-A2D1-435A-BC1D-A841194A603C}">
  <ds:schemaRefs>
    <ds:schemaRef ds:uri="http://schemas.microsoft.com/office/infopath/2007/PartnerControls"/>
    <ds:schemaRef ds:uri="http://www.w3.org/XML/1998/namespace"/>
    <ds:schemaRef ds:uri="cba34f41-bd7a-4d17-8d81-20a3aad32454"/>
    <ds:schemaRef ds:uri="http://purl.org/dc/elements/1.1/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dd4e3198-d10c-42db-83c7-c2eaf8500160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65E694-AD9B-40BD-BBC8-9E8B26A2D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4e3198-d10c-42db-83c7-c2eaf8500160"/>
    <ds:schemaRef ds:uri="cba34f41-bd7a-4d17-8d81-20a3aad32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Daniella Cohen</dc:creator>
  <cp:keywords/>
  <dc:description/>
  <cp:lastModifiedBy>Christopher Dallarosa</cp:lastModifiedBy>
  <cp:revision/>
  <dcterms:created xsi:type="dcterms:W3CDTF">2021-11-12T21:33:57Z</dcterms:created>
  <dcterms:modified xsi:type="dcterms:W3CDTF">2025-10-24T21:21:11Z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0x010100FEB6FC37A494F44DB8B3E75F94CB4F0D</vt:lpwstr>
  </property>
  <property fmtid="{D5CDD505-2E9C-101B-9397-08002B2CF9AE}" pid="3" name="MediaServiceImageTags">
    <vt:lpwstr/>
  </property>
</Properties>
</file>