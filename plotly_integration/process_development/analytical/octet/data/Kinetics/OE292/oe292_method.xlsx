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stimmuneinc.sharepoint.com/sites/ProteinEngineering/Shared Documents/Octet_Data/OE292-pending/"/>
    </mc:Choice>
  </mc:AlternateContent>
  <xr:revisionPtr revIDLastSave="138" documentId="8_{D6B3C500-E9EF-4314-AC2E-FFFB9016149B}" xr6:coauthVersionLast="47" xr6:coauthVersionMax="47" xr10:uidLastSave="{6CA29EB7-F9F8-4F4D-A65B-D03746E4D8E2}"/>
  <bookViews>
    <workbookView xWindow="-103" yWindow="-103" windowWidth="27634" windowHeight="16629" activeTab="4" xr2:uid="{D9AC8838-47E9-482C-AEE2-93347341FED9}"/>
  </bookViews>
  <sheets>
    <sheet name="ExpInfo" sheetId="2" r:id="rId1"/>
    <sheet name="SamplePlate1" sheetId="3" r:id="rId2"/>
    <sheet name="Sample Plate 1 Visual" sheetId="9" r:id="rId3"/>
    <sheet name="SamplePlate2" sheetId="8" r:id="rId4"/>
    <sheet name="AssaySteps" sheetId="1" r:id="rId5"/>
    <sheet name="Loaded Proteins" sheetId="5" r:id="rId6"/>
    <sheet name="Sample Proteins" sheetId="6" r:id="rId7"/>
    <sheet name="To Print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2" i="5"/>
  <c r="B11" i="5"/>
  <c r="H3" i="5"/>
  <c r="I3" i="5" s="1"/>
  <c r="H4" i="5"/>
  <c r="I4" i="5"/>
  <c r="H5" i="5"/>
  <c r="I5" i="5"/>
  <c r="H6" i="5"/>
  <c r="I6" i="5"/>
  <c r="H7" i="5"/>
  <c r="I7" i="5"/>
  <c r="H8" i="5"/>
  <c r="I8" i="5" s="1"/>
  <c r="H9" i="5"/>
  <c r="I9" i="5"/>
  <c r="H10" i="5"/>
  <c r="I10" i="5" s="1"/>
  <c r="H12" i="5"/>
  <c r="I12" i="5" s="1"/>
  <c r="H11" i="5"/>
  <c r="I11" i="5"/>
  <c r="B25" i="5"/>
  <c r="B26" i="5"/>
  <c r="H25" i="5"/>
  <c r="I25" i="5"/>
  <c r="H26" i="5"/>
  <c r="I26" i="5"/>
  <c r="G340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38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117" i="3" s="1"/>
  <c r="G165" i="3" s="1"/>
  <c r="G213" i="3" s="1"/>
  <c r="G261" i="3" s="1"/>
  <c r="G309" i="3" s="1"/>
  <c r="G70" i="3"/>
  <c r="G118" i="3" s="1"/>
  <c r="G166" i="3" s="1"/>
  <c r="G214" i="3" s="1"/>
  <c r="G262" i="3" s="1"/>
  <c r="G310" i="3" s="1"/>
  <c r="G71" i="3"/>
  <c r="G119" i="3" s="1"/>
  <c r="G167" i="3" s="1"/>
  <c r="G215" i="3" s="1"/>
  <c r="G263" i="3" s="1"/>
  <c r="G311" i="3" s="1"/>
  <c r="G72" i="3"/>
  <c r="G120" i="3" s="1"/>
  <c r="G168" i="3" s="1"/>
  <c r="G216" i="3" s="1"/>
  <c r="G264" i="3" s="1"/>
  <c r="G312" i="3" s="1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139" i="3" s="1"/>
  <c r="G187" i="3" s="1"/>
  <c r="G235" i="3" s="1"/>
  <c r="G283" i="3" s="1"/>
  <c r="G331" i="3" s="1"/>
  <c r="G92" i="3"/>
  <c r="G140" i="3" s="1"/>
  <c r="G188" i="3" s="1"/>
  <c r="G236" i="3" s="1"/>
  <c r="G284" i="3" s="1"/>
  <c r="G332" i="3" s="1"/>
  <c r="G93" i="3"/>
  <c r="G141" i="3" s="1"/>
  <c r="G189" i="3" s="1"/>
  <c r="G237" i="3" s="1"/>
  <c r="G285" i="3" s="1"/>
  <c r="G333" i="3" s="1"/>
  <c r="G94" i="3"/>
  <c r="G142" i="3" s="1"/>
  <c r="G190" i="3" s="1"/>
  <c r="G238" i="3" s="1"/>
  <c r="G286" i="3" s="1"/>
  <c r="G334" i="3" s="1"/>
  <c r="G95" i="3"/>
  <c r="G96" i="3"/>
  <c r="G97" i="3"/>
  <c r="G98" i="3"/>
  <c r="G99" i="3"/>
  <c r="G147" i="3" s="1"/>
  <c r="G195" i="3" s="1"/>
  <c r="G243" i="3" s="1"/>
  <c r="G291" i="3" s="1"/>
  <c r="G339" i="3" s="1"/>
  <c r="G100" i="3"/>
  <c r="G101" i="3"/>
  <c r="G149" i="3" s="1"/>
  <c r="G197" i="3" s="1"/>
  <c r="G245" i="3" s="1"/>
  <c r="G293" i="3" s="1"/>
  <c r="G341" i="3" s="1"/>
  <c r="G102" i="3"/>
  <c r="G103" i="3"/>
  <c r="G104" i="3"/>
  <c r="G105" i="3"/>
  <c r="G106" i="3"/>
  <c r="G107" i="3"/>
  <c r="G108" i="3"/>
  <c r="G109" i="3"/>
  <c r="G110" i="3"/>
  <c r="G111" i="3"/>
  <c r="G112" i="3"/>
  <c r="G113" i="3"/>
  <c r="G161" i="3" s="1"/>
  <c r="G209" i="3" s="1"/>
  <c r="G257" i="3" s="1"/>
  <c r="G305" i="3" s="1"/>
  <c r="G114" i="3"/>
  <c r="G162" i="3" s="1"/>
  <c r="G210" i="3" s="1"/>
  <c r="G258" i="3" s="1"/>
  <c r="G306" i="3" s="1"/>
  <c r="G115" i="3"/>
  <c r="G163" i="3" s="1"/>
  <c r="G211" i="3" s="1"/>
  <c r="G259" i="3" s="1"/>
  <c r="G307" i="3" s="1"/>
  <c r="G116" i="3"/>
  <c r="G164" i="3" s="1"/>
  <c r="G212" i="3" s="1"/>
  <c r="G260" i="3" s="1"/>
  <c r="G308" i="3" s="1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83" i="3" s="1"/>
  <c r="G231" i="3" s="1"/>
  <c r="G279" i="3" s="1"/>
  <c r="G327" i="3" s="1"/>
  <c r="G136" i="3"/>
  <c r="G184" i="3" s="1"/>
  <c r="G232" i="3" s="1"/>
  <c r="G280" i="3" s="1"/>
  <c r="G328" i="3" s="1"/>
  <c r="G137" i="3"/>
  <c r="G185" i="3" s="1"/>
  <c r="G233" i="3" s="1"/>
  <c r="G281" i="3" s="1"/>
  <c r="G329" i="3" s="1"/>
  <c r="G138" i="3"/>
  <c r="G186" i="3" s="1"/>
  <c r="G234" i="3" s="1"/>
  <c r="G282" i="3" s="1"/>
  <c r="G330" i="3" s="1"/>
  <c r="G143" i="3"/>
  <c r="G144" i="3"/>
  <c r="G145" i="3"/>
  <c r="G146" i="3"/>
  <c r="G148" i="3"/>
  <c r="G150" i="3"/>
  <c r="G151" i="3"/>
  <c r="G152" i="3"/>
  <c r="G153" i="3"/>
  <c r="G154" i="3"/>
  <c r="G155" i="3"/>
  <c r="G156" i="3"/>
  <c r="G157" i="3"/>
  <c r="G205" i="3" s="1"/>
  <c r="G253" i="3" s="1"/>
  <c r="G301" i="3" s="1"/>
  <c r="G158" i="3"/>
  <c r="G206" i="3" s="1"/>
  <c r="G254" i="3" s="1"/>
  <c r="G302" i="3" s="1"/>
  <c r="G159" i="3"/>
  <c r="G207" i="3" s="1"/>
  <c r="G255" i="3" s="1"/>
  <c r="G303" i="3" s="1"/>
  <c r="G160" i="3"/>
  <c r="G208" i="3" s="1"/>
  <c r="G256" i="3" s="1"/>
  <c r="G304" i="3" s="1"/>
  <c r="G169" i="3"/>
  <c r="G170" i="3"/>
  <c r="G171" i="3"/>
  <c r="G172" i="3"/>
  <c r="G173" i="3"/>
  <c r="G174" i="3"/>
  <c r="G175" i="3"/>
  <c r="G176" i="3"/>
  <c r="G177" i="3"/>
  <c r="G178" i="3"/>
  <c r="G179" i="3"/>
  <c r="G227" i="3" s="1"/>
  <c r="G275" i="3" s="1"/>
  <c r="G323" i="3" s="1"/>
  <c r="G180" i="3"/>
  <c r="G228" i="3" s="1"/>
  <c r="G276" i="3" s="1"/>
  <c r="G324" i="3" s="1"/>
  <c r="G181" i="3"/>
  <c r="G229" i="3" s="1"/>
  <c r="G277" i="3" s="1"/>
  <c r="G325" i="3" s="1"/>
  <c r="G182" i="3"/>
  <c r="G230" i="3" s="1"/>
  <c r="G278" i="3" s="1"/>
  <c r="G326" i="3" s="1"/>
  <c r="G191" i="3"/>
  <c r="G192" i="3"/>
  <c r="G193" i="3"/>
  <c r="G194" i="3"/>
  <c r="G196" i="3"/>
  <c r="G198" i="3"/>
  <c r="G199" i="3"/>
  <c r="G200" i="3"/>
  <c r="G201" i="3"/>
  <c r="G249" i="3" s="1"/>
  <c r="G297" i="3" s="1"/>
  <c r="G202" i="3"/>
  <c r="G250" i="3" s="1"/>
  <c r="G298" i="3" s="1"/>
  <c r="G203" i="3"/>
  <c r="G251" i="3" s="1"/>
  <c r="G299" i="3" s="1"/>
  <c r="G204" i="3"/>
  <c r="G252" i="3" s="1"/>
  <c r="G300" i="3" s="1"/>
  <c r="G217" i="3"/>
  <c r="G218" i="3"/>
  <c r="G219" i="3"/>
  <c r="G220" i="3"/>
  <c r="G221" i="3"/>
  <c r="G222" i="3"/>
  <c r="G223" i="3"/>
  <c r="G271" i="3" s="1"/>
  <c r="G319" i="3" s="1"/>
  <c r="G224" i="3"/>
  <c r="G272" i="3" s="1"/>
  <c r="G320" i="3" s="1"/>
  <c r="G225" i="3"/>
  <c r="G273" i="3" s="1"/>
  <c r="G321" i="3" s="1"/>
  <c r="G226" i="3"/>
  <c r="G274" i="3" s="1"/>
  <c r="G322" i="3" s="1"/>
  <c r="G239" i="3"/>
  <c r="G240" i="3"/>
  <c r="G241" i="3"/>
  <c r="G242" i="3"/>
  <c r="G244" i="3"/>
  <c r="G246" i="3"/>
  <c r="G294" i="3" s="1"/>
  <c r="G247" i="3"/>
  <c r="G295" i="3" s="1"/>
  <c r="G248" i="3"/>
  <c r="G296" i="3" s="1"/>
  <c r="G265" i="3"/>
  <c r="G266" i="3"/>
  <c r="G267" i="3"/>
  <c r="G315" i="3" s="1"/>
  <c r="G268" i="3"/>
  <c r="G316" i="3" s="1"/>
  <c r="G269" i="3"/>
  <c r="G317" i="3" s="1"/>
  <c r="G270" i="3"/>
  <c r="G318" i="3" s="1"/>
  <c r="G287" i="3"/>
  <c r="G288" i="3"/>
  <c r="G289" i="3"/>
  <c r="G337" i="3" s="1"/>
  <c r="G290" i="3"/>
  <c r="G292" i="3"/>
  <c r="G313" i="3"/>
  <c r="G314" i="3"/>
  <c r="G335" i="3"/>
  <c r="G336" i="3"/>
  <c r="E51" i="3"/>
  <c r="E99" i="3" s="1"/>
  <c r="E147" i="3" s="1"/>
  <c r="E52" i="3"/>
  <c r="E53" i="3"/>
  <c r="E101" i="3" s="1"/>
  <c r="E149" i="3" s="1"/>
  <c r="E197" i="3" s="1"/>
  <c r="E245" i="3" s="1"/>
  <c r="E293" i="3" s="1"/>
  <c r="E341" i="3" s="1"/>
  <c r="E54" i="3"/>
  <c r="E55" i="3"/>
  <c r="E56" i="3"/>
  <c r="E104" i="3" s="1"/>
  <c r="E152" i="3" s="1"/>
  <c r="E200" i="3" s="1"/>
  <c r="E248" i="3" s="1"/>
  <c r="E296" i="3" s="1"/>
  <c r="E344" i="3" s="1"/>
  <c r="E57" i="3"/>
  <c r="E58" i="3"/>
  <c r="E106" i="3" s="1"/>
  <c r="E154" i="3" s="1"/>
  <c r="E202" i="3" s="1"/>
  <c r="E250" i="3" s="1"/>
  <c r="E298" i="3" s="1"/>
  <c r="E346" i="3" s="1"/>
  <c r="E59" i="3"/>
  <c r="E107" i="3" s="1"/>
  <c r="E155" i="3" s="1"/>
  <c r="E203" i="3" s="1"/>
  <c r="E251" i="3" s="1"/>
  <c r="E299" i="3" s="1"/>
  <c r="E347" i="3" s="1"/>
  <c r="E60" i="3"/>
  <c r="E61" i="3"/>
  <c r="E109" i="3" s="1"/>
  <c r="E157" i="3" s="1"/>
  <c r="E205" i="3" s="1"/>
  <c r="E253" i="3" s="1"/>
  <c r="E301" i="3" s="1"/>
  <c r="E349" i="3" s="1"/>
  <c r="E62" i="3"/>
  <c r="E110" i="3" s="1"/>
  <c r="E158" i="3" s="1"/>
  <c r="E206" i="3" s="1"/>
  <c r="E254" i="3" s="1"/>
  <c r="E302" i="3" s="1"/>
  <c r="E350" i="3" s="1"/>
  <c r="E63" i="3"/>
  <c r="E64" i="3"/>
  <c r="E112" i="3" s="1"/>
  <c r="E160" i="3" s="1"/>
  <c r="E208" i="3" s="1"/>
  <c r="E256" i="3" s="1"/>
  <c r="E304" i="3" s="1"/>
  <c r="E352" i="3" s="1"/>
  <c r="E65" i="3"/>
  <c r="E113" i="3" s="1"/>
  <c r="E161" i="3" s="1"/>
  <c r="E209" i="3" s="1"/>
  <c r="E257" i="3" s="1"/>
  <c r="E305" i="3" s="1"/>
  <c r="E353" i="3" s="1"/>
  <c r="E66" i="3"/>
  <c r="E114" i="3" s="1"/>
  <c r="E162" i="3" s="1"/>
  <c r="E210" i="3" s="1"/>
  <c r="E258" i="3" s="1"/>
  <c r="E306" i="3" s="1"/>
  <c r="E354" i="3" s="1"/>
  <c r="E67" i="3"/>
  <c r="E115" i="3" s="1"/>
  <c r="E163" i="3" s="1"/>
  <c r="E211" i="3" s="1"/>
  <c r="E259" i="3" s="1"/>
  <c r="E307" i="3" s="1"/>
  <c r="E355" i="3" s="1"/>
  <c r="E68" i="3"/>
  <c r="E116" i="3" s="1"/>
  <c r="E164" i="3" s="1"/>
  <c r="E212" i="3" s="1"/>
  <c r="E260" i="3" s="1"/>
  <c r="E308" i="3" s="1"/>
  <c r="E356" i="3" s="1"/>
  <c r="E69" i="3"/>
  <c r="E117" i="3" s="1"/>
  <c r="E165" i="3" s="1"/>
  <c r="E213" i="3" s="1"/>
  <c r="E261" i="3" s="1"/>
  <c r="E309" i="3" s="1"/>
  <c r="E357" i="3" s="1"/>
  <c r="E70" i="3"/>
  <c r="E118" i="3" s="1"/>
  <c r="E166" i="3" s="1"/>
  <c r="E214" i="3" s="1"/>
  <c r="E262" i="3" s="1"/>
  <c r="E310" i="3" s="1"/>
  <c r="E358" i="3" s="1"/>
  <c r="E71" i="3"/>
  <c r="E119" i="3" s="1"/>
  <c r="E167" i="3" s="1"/>
  <c r="E215" i="3" s="1"/>
  <c r="E263" i="3" s="1"/>
  <c r="E311" i="3" s="1"/>
  <c r="E359" i="3" s="1"/>
  <c r="E72" i="3"/>
  <c r="E120" i="3" s="1"/>
  <c r="E168" i="3" s="1"/>
  <c r="E216" i="3" s="1"/>
  <c r="E264" i="3" s="1"/>
  <c r="E312" i="3" s="1"/>
  <c r="E360" i="3" s="1"/>
  <c r="E73" i="3"/>
  <c r="E121" i="3" s="1"/>
  <c r="E169" i="3" s="1"/>
  <c r="E217" i="3" s="1"/>
  <c r="E265" i="3" s="1"/>
  <c r="E313" i="3" s="1"/>
  <c r="E361" i="3" s="1"/>
  <c r="E74" i="3"/>
  <c r="E122" i="3" s="1"/>
  <c r="E170" i="3" s="1"/>
  <c r="E218" i="3" s="1"/>
  <c r="E266" i="3" s="1"/>
  <c r="E314" i="3" s="1"/>
  <c r="E362" i="3" s="1"/>
  <c r="E75" i="3"/>
  <c r="E123" i="3" s="1"/>
  <c r="E171" i="3" s="1"/>
  <c r="E219" i="3" s="1"/>
  <c r="E267" i="3" s="1"/>
  <c r="E315" i="3" s="1"/>
  <c r="E363" i="3" s="1"/>
  <c r="E76" i="3"/>
  <c r="E124" i="3" s="1"/>
  <c r="E172" i="3" s="1"/>
  <c r="E220" i="3" s="1"/>
  <c r="E268" i="3" s="1"/>
  <c r="E316" i="3" s="1"/>
  <c r="E364" i="3" s="1"/>
  <c r="E77" i="3"/>
  <c r="E125" i="3" s="1"/>
  <c r="E173" i="3" s="1"/>
  <c r="E221" i="3" s="1"/>
  <c r="E269" i="3" s="1"/>
  <c r="E317" i="3" s="1"/>
  <c r="E365" i="3" s="1"/>
  <c r="E78" i="3"/>
  <c r="E79" i="3"/>
  <c r="E80" i="3"/>
  <c r="E81" i="3"/>
  <c r="E82" i="3"/>
  <c r="E130" i="3" s="1"/>
  <c r="E178" i="3" s="1"/>
  <c r="E226" i="3" s="1"/>
  <c r="E274" i="3" s="1"/>
  <c r="E322" i="3" s="1"/>
  <c r="E370" i="3" s="1"/>
  <c r="E83" i="3"/>
  <c r="E131" i="3" s="1"/>
  <c r="E179" i="3" s="1"/>
  <c r="E227" i="3" s="1"/>
  <c r="E275" i="3" s="1"/>
  <c r="E323" i="3" s="1"/>
  <c r="E371" i="3" s="1"/>
  <c r="E84" i="3"/>
  <c r="E132" i="3" s="1"/>
  <c r="E180" i="3" s="1"/>
  <c r="E228" i="3" s="1"/>
  <c r="E276" i="3" s="1"/>
  <c r="E324" i="3" s="1"/>
  <c r="E372" i="3" s="1"/>
  <c r="E85" i="3"/>
  <c r="E133" i="3" s="1"/>
  <c r="E181" i="3" s="1"/>
  <c r="E229" i="3" s="1"/>
  <c r="E277" i="3" s="1"/>
  <c r="E325" i="3" s="1"/>
  <c r="E373" i="3" s="1"/>
  <c r="E86" i="3"/>
  <c r="E134" i="3" s="1"/>
  <c r="E182" i="3" s="1"/>
  <c r="E230" i="3" s="1"/>
  <c r="E278" i="3" s="1"/>
  <c r="E326" i="3" s="1"/>
  <c r="E374" i="3" s="1"/>
  <c r="E87" i="3"/>
  <c r="E135" i="3" s="1"/>
  <c r="E183" i="3" s="1"/>
  <c r="E231" i="3" s="1"/>
  <c r="E279" i="3" s="1"/>
  <c r="E327" i="3" s="1"/>
  <c r="E375" i="3" s="1"/>
  <c r="E88" i="3"/>
  <c r="E136" i="3" s="1"/>
  <c r="E184" i="3" s="1"/>
  <c r="E232" i="3" s="1"/>
  <c r="E280" i="3" s="1"/>
  <c r="E328" i="3" s="1"/>
  <c r="E376" i="3" s="1"/>
  <c r="E89" i="3"/>
  <c r="E137" i="3" s="1"/>
  <c r="E185" i="3" s="1"/>
  <c r="E233" i="3" s="1"/>
  <c r="E281" i="3" s="1"/>
  <c r="E329" i="3" s="1"/>
  <c r="E377" i="3" s="1"/>
  <c r="E90" i="3"/>
  <c r="E138" i="3" s="1"/>
  <c r="E186" i="3" s="1"/>
  <c r="E234" i="3" s="1"/>
  <c r="E91" i="3"/>
  <c r="E139" i="3" s="1"/>
  <c r="E187" i="3" s="1"/>
  <c r="E235" i="3" s="1"/>
  <c r="E92" i="3"/>
  <c r="E140" i="3" s="1"/>
  <c r="E188" i="3" s="1"/>
  <c r="E236" i="3" s="1"/>
  <c r="E284" i="3" s="1"/>
  <c r="E332" i="3" s="1"/>
  <c r="E380" i="3" s="1"/>
  <c r="E93" i="3"/>
  <c r="E141" i="3" s="1"/>
  <c r="E189" i="3" s="1"/>
  <c r="E237" i="3" s="1"/>
  <c r="E285" i="3" s="1"/>
  <c r="E333" i="3" s="1"/>
  <c r="E381" i="3" s="1"/>
  <c r="E94" i="3"/>
  <c r="E142" i="3" s="1"/>
  <c r="E190" i="3" s="1"/>
  <c r="E238" i="3" s="1"/>
  <c r="E286" i="3" s="1"/>
  <c r="E334" i="3" s="1"/>
  <c r="E382" i="3" s="1"/>
  <c r="E95" i="3"/>
  <c r="E143" i="3" s="1"/>
  <c r="E96" i="3"/>
  <c r="E97" i="3"/>
  <c r="E98" i="3"/>
  <c r="E100" i="3"/>
  <c r="E102" i="3"/>
  <c r="E150" i="3" s="1"/>
  <c r="E198" i="3" s="1"/>
  <c r="E246" i="3" s="1"/>
  <c r="E294" i="3" s="1"/>
  <c r="E342" i="3" s="1"/>
  <c r="E103" i="3"/>
  <c r="E151" i="3" s="1"/>
  <c r="E199" i="3" s="1"/>
  <c r="E247" i="3" s="1"/>
  <c r="E295" i="3" s="1"/>
  <c r="E343" i="3" s="1"/>
  <c r="E105" i="3"/>
  <c r="E153" i="3" s="1"/>
  <c r="E201" i="3" s="1"/>
  <c r="E249" i="3" s="1"/>
  <c r="E297" i="3" s="1"/>
  <c r="E345" i="3" s="1"/>
  <c r="E108" i="3"/>
  <c r="E156" i="3" s="1"/>
  <c r="E204" i="3" s="1"/>
  <c r="E252" i="3" s="1"/>
  <c r="E300" i="3" s="1"/>
  <c r="E348" i="3" s="1"/>
  <c r="E111" i="3"/>
  <c r="E159" i="3" s="1"/>
  <c r="E207" i="3" s="1"/>
  <c r="E255" i="3" s="1"/>
  <c r="E303" i="3" s="1"/>
  <c r="E351" i="3" s="1"/>
  <c r="E126" i="3"/>
  <c r="E127" i="3"/>
  <c r="E128" i="3"/>
  <c r="E129" i="3"/>
  <c r="E144" i="3"/>
  <c r="E145" i="3"/>
  <c r="E146" i="3"/>
  <c r="E148" i="3"/>
  <c r="E196" i="3" s="1"/>
  <c r="E244" i="3" s="1"/>
  <c r="E292" i="3" s="1"/>
  <c r="E340" i="3" s="1"/>
  <c r="E174" i="3"/>
  <c r="E222" i="3" s="1"/>
  <c r="E270" i="3" s="1"/>
  <c r="E318" i="3" s="1"/>
  <c r="E366" i="3" s="1"/>
  <c r="E175" i="3"/>
  <c r="E223" i="3" s="1"/>
  <c r="E271" i="3" s="1"/>
  <c r="E319" i="3" s="1"/>
  <c r="E367" i="3" s="1"/>
  <c r="E176" i="3"/>
  <c r="E224" i="3" s="1"/>
  <c r="E272" i="3" s="1"/>
  <c r="E320" i="3" s="1"/>
  <c r="E368" i="3" s="1"/>
  <c r="E177" i="3"/>
  <c r="E225" i="3" s="1"/>
  <c r="E273" i="3" s="1"/>
  <c r="E321" i="3" s="1"/>
  <c r="E369" i="3" s="1"/>
  <c r="E191" i="3"/>
  <c r="E192" i="3"/>
  <c r="E193" i="3"/>
  <c r="E194" i="3"/>
  <c r="E195" i="3"/>
  <c r="E239" i="3"/>
  <c r="E287" i="3" s="1"/>
  <c r="E335" i="3" s="1"/>
  <c r="E383" i="3" s="1"/>
  <c r="E240" i="3"/>
  <c r="E288" i="3" s="1"/>
  <c r="E336" i="3" s="1"/>
  <c r="E384" i="3" s="1"/>
  <c r="E241" i="3"/>
  <c r="E289" i="3" s="1"/>
  <c r="E337" i="3" s="1"/>
  <c r="E385" i="3" s="1"/>
  <c r="E242" i="3"/>
  <c r="E290" i="3" s="1"/>
  <c r="E338" i="3" s="1"/>
  <c r="E243" i="3"/>
  <c r="E291" i="3" s="1"/>
  <c r="E339" i="3" s="1"/>
  <c r="E282" i="3"/>
  <c r="E330" i="3" s="1"/>
  <c r="E378" i="3" s="1"/>
  <c r="E283" i="3"/>
  <c r="E331" i="3" s="1"/>
  <c r="E379" i="3" s="1"/>
  <c r="G50" i="3"/>
  <c r="E50" i="3"/>
  <c r="B98" i="3"/>
  <c r="B146" i="3" s="1"/>
  <c r="B194" i="3" s="1"/>
  <c r="B242" i="3" s="1"/>
  <c r="B290" i="3" s="1"/>
  <c r="B338" i="3" s="1"/>
  <c r="B127" i="3"/>
  <c r="B175" i="3" s="1"/>
  <c r="B223" i="3" s="1"/>
  <c r="B271" i="3" s="1"/>
  <c r="B319" i="3" s="1"/>
  <c r="B367" i="3" s="1"/>
  <c r="B128" i="3"/>
  <c r="B176" i="3" s="1"/>
  <c r="B224" i="3" s="1"/>
  <c r="B272" i="3" s="1"/>
  <c r="B320" i="3" s="1"/>
  <c r="B368" i="3" s="1"/>
  <c r="B129" i="3"/>
  <c r="B177" i="3" s="1"/>
  <c r="B225" i="3" s="1"/>
  <c r="B273" i="3" s="1"/>
  <c r="B321" i="3" s="1"/>
  <c r="B369" i="3" s="1"/>
  <c r="B130" i="3"/>
  <c r="B131" i="3"/>
  <c r="B132" i="3"/>
  <c r="B133" i="3"/>
  <c r="B134" i="3"/>
  <c r="B135" i="3"/>
  <c r="B136" i="3"/>
  <c r="B137" i="3"/>
  <c r="B138" i="3"/>
  <c r="B186" i="3" s="1"/>
  <c r="B234" i="3" s="1"/>
  <c r="B282" i="3" s="1"/>
  <c r="B330" i="3" s="1"/>
  <c r="B378" i="3" s="1"/>
  <c r="B139" i="3"/>
  <c r="B187" i="3" s="1"/>
  <c r="B235" i="3" s="1"/>
  <c r="B283" i="3" s="1"/>
  <c r="B331" i="3" s="1"/>
  <c r="B379" i="3" s="1"/>
  <c r="B140" i="3"/>
  <c r="B188" i="3" s="1"/>
  <c r="B236" i="3" s="1"/>
  <c r="B284" i="3" s="1"/>
  <c r="B332" i="3" s="1"/>
  <c r="B380" i="3" s="1"/>
  <c r="B141" i="3"/>
  <c r="B189" i="3" s="1"/>
  <c r="B237" i="3" s="1"/>
  <c r="B285" i="3" s="1"/>
  <c r="B333" i="3" s="1"/>
  <c r="B381" i="3" s="1"/>
  <c r="B142" i="3"/>
  <c r="B143" i="3"/>
  <c r="B144" i="3"/>
  <c r="B145" i="3"/>
  <c r="B178" i="3"/>
  <c r="B179" i="3"/>
  <c r="B180" i="3"/>
  <c r="B181" i="3"/>
  <c r="B182" i="3"/>
  <c r="B230" i="3" s="1"/>
  <c r="B278" i="3" s="1"/>
  <c r="B326" i="3" s="1"/>
  <c r="B374" i="3" s="1"/>
  <c r="B183" i="3"/>
  <c r="B231" i="3" s="1"/>
  <c r="B279" i="3" s="1"/>
  <c r="B327" i="3" s="1"/>
  <c r="B375" i="3" s="1"/>
  <c r="B184" i="3"/>
  <c r="B232" i="3" s="1"/>
  <c r="B280" i="3" s="1"/>
  <c r="B328" i="3" s="1"/>
  <c r="B376" i="3" s="1"/>
  <c r="B185" i="3"/>
  <c r="B233" i="3" s="1"/>
  <c r="B281" i="3" s="1"/>
  <c r="B329" i="3" s="1"/>
  <c r="B377" i="3" s="1"/>
  <c r="B190" i="3"/>
  <c r="B191" i="3"/>
  <c r="B192" i="3"/>
  <c r="B193" i="3"/>
  <c r="B226" i="3"/>
  <c r="B274" i="3" s="1"/>
  <c r="B322" i="3" s="1"/>
  <c r="B370" i="3" s="1"/>
  <c r="B227" i="3"/>
  <c r="B275" i="3" s="1"/>
  <c r="B323" i="3" s="1"/>
  <c r="B371" i="3" s="1"/>
  <c r="B228" i="3"/>
  <c r="B276" i="3" s="1"/>
  <c r="B324" i="3" s="1"/>
  <c r="B372" i="3" s="1"/>
  <c r="B229" i="3"/>
  <c r="B277" i="3" s="1"/>
  <c r="B325" i="3" s="1"/>
  <c r="B373" i="3" s="1"/>
  <c r="B238" i="3"/>
  <c r="B239" i="3"/>
  <c r="B240" i="3"/>
  <c r="B241" i="3"/>
  <c r="B286" i="3"/>
  <c r="B287" i="3"/>
  <c r="B288" i="3"/>
  <c r="B289" i="3"/>
  <c r="B334" i="3"/>
  <c r="B335" i="3"/>
  <c r="B336" i="3"/>
  <c r="B384" i="3" s="1"/>
  <c r="B337" i="3"/>
  <c r="B385" i="3" s="1"/>
  <c r="B382" i="3"/>
  <c r="B383" i="3"/>
  <c r="B74" i="3"/>
  <c r="B122" i="3" s="1"/>
  <c r="B170" i="3" s="1"/>
  <c r="B218" i="3" s="1"/>
  <c r="B266" i="3" s="1"/>
  <c r="B314" i="3" s="1"/>
  <c r="B362" i="3" s="1"/>
  <c r="B75" i="3"/>
  <c r="B123" i="3" s="1"/>
  <c r="B171" i="3" s="1"/>
  <c r="B219" i="3" s="1"/>
  <c r="B267" i="3" s="1"/>
  <c r="B315" i="3" s="1"/>
  <c r="B363" i="3" s="1"/>
  <c r="B76" i="3"/>
  <c r="B124" i="3" s="1"/>
  <c r="B172" i="3" s="1"/>
  <c r="B220" i="3" s="1"/>
  <c r="B268" i="3" s="1"/>
  <c r="B316" i="3" s="1"/>
  <c r="B364" i="3" s="1"/>
  <c r="B77" i="3"/>
  <c r="B125" i="3" s="1"/>
  <c r="B173" i="3" s="1"/>
  <c r="B221" i="3" s="1"/>
  <c r="B269" i="3" s="1"/>
  <c r="B317" i="3" s="1"/>
  <c r="B365" i="3" s="1"/>
  <c r="B78" i="3"/>
  <c r="B126" i="3" s="1"/>
  <c r="B174" i="3" s="1"/>
  <c r="B222" i="3" s="1"/>
  <c r="B270" i="3" s="1"/>
  <c r="B318" i="3" s="1"/>
  <c r="B366" i="3" s="1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51" i="3"/>
  <c r="B99" i="3" s="1"/>
  <c r="B147" i="3" s="1"/>
  <c r="B195" i="3" s="1"/>
  <c r="B243" i="3" s="1"/>
  <c r="B291" i="3" s="1"/>
  <c r="B339" i="3" s="1"/>
  <c r="B52" i="3"/>
  <c r="B100" i="3" s="1"/>
  <c r="B148" i="3" s="1"/>
  <c r="B196" i="3" s="1"/>
  <c r="B244" i="3" s="1"/>
  <c r="B292" i="3" s="1"/>
  <c r="B340" i="3" s="1"/>
  <c r="B53" i="3"/>
  <c r="B101" i="3" s="1"/>
  <c r="B149" i="3" s="1"/>
  <c r="B197" i="3" s="1"/>
  <c r="B245" i="3" s="1"/>
  <c r="B293" i="3" s="1"/>
  <c r="B341" i="3" s="1"/>
  <c r="B54" i="3"/>
  <c r="B102" i="3" s="1"/>
  <c r="B150" i="3" s="1"/>
  <c r="B198" i="3" s="1"/>
  <c r="B246" i="3" s="1"/>
  <c r="B294" i="3" s="1"/>
  <c r="B342" i="3" s="1"/>
  <c r="B55" i="3"/>
  <c r="B103" i="3" s="1"/>
  <c r="B151" i="3" s="1"/>
  <c r="B199" i="3" s="1"/>
  <c r="B247" i="3" s="1"/>
  <c r="B295" i="3" s="1"/>
  <c r="B343" i="3" s="1"/>
  <c r="B56" i="3"/>
  <c r="B104" i="3" s="1"/>
  <c r="B152" i="3" s="1"/>
  <c r="B200" i="3" s="1"/>
  <c r="B248" i="3" s="1"/>
  <c r="B296" i="3" s="1"/>
  <c r="B344" i="3" s="1"/>
  <c r="B57" i="3"/>
  <c r="B105" i="3" s="1"/>
  <c r="B153" i="3" s="1"/>
  <c r="B201" i="3" s="1"/>
  <c r="B249" i="3" s="1"/>
  <c r="B297" i="3" s="1"/>
  <c r="B345" i="3" s="1"/>
  <c r="B58" i="3"/>
  <c r="B106" i="3" s="1"/>
  <c r="B154" i="3" s="1"/>
  <c r="B202" i="3" s="1"/>
  <c r="B250" i="3" s="1"/>
  <c r="B298" i="3" s="1"/>
  <c r="B346" i="3" s="1"/>
  <c r="B59" i="3"/>
  <c r="B107" i="3" s="1"/>
  <c r="B155" i="3" s="1"/>
  <c r="B203" i="3" s="1"/>
  <c r="B251" i="3" s="1"/>
  <c r="B299" i="3" s="1"/>
  <c r="B347" i="3" s="1"/>
  <c r="B60" i="3"/>
  <c r="B108" i="3" s="1"/>
  <c r="B156" i="3" s="1"/>
  <c r="B204" i="3" s="1"/>
  <c r="B252" i="3" s="1"/>
  <c r="B300" i="3" s="1"/>
  <c r="B348" i="3" s="1"/>
  <c r="B61" i="3"/>
  <c r="B109" i="3" s="1"/>
  <c r="B157" i="3" s="1"/>
  <c r="B205" i="3" s="1"/>
  <c r="B253" i="3" s="1"/>
  <c r="B301" i="3" s="1"/>
  <c r="B349" i="3" s="1"/>
  <c r="B62" i="3"/>
  <c r="B110" i="3" s="1"/>
  <c r="B158" i="3" s="1"/>
  <c r="B206" i="3" s="1"/>
  <c r="B254" i="3" s="1"/>
  <c r="B302" i="3" s="1"/>
  <c r="B350" i="3" s="1"/>
  <c r="B63" i="3"/>
  <c r="B111" i="3" s="1"/>
  <c r="B159" i="3" s="1"/>
  <c r="B207" i="3" s="1"/>
  <c r="B255" i="3" s="1"/>
  <c r="B303" i="3" s="1"/>
  <c r="B351" i="3" s="1"/>
  <c r="B64" i="3"/>
  <c r="B112" i="3" s="1"/>
  <c r="B160" i="3" s="1"/>
  <c r="B208" i="3" s="1"/>
  <c r="B256" i="3" s="1"/>
  <c r="B304" i="3" s="1"/>
  <c r="B352" i="3" s="1"/>
  <c r="B65" i="3"/>
  <c r="B113" i="3" s="1"/>
  <c r="B161" i="3" s="1"/>
  <c r="B209" i="3" s="1"/>
  <c r="B257" i="3" s="1"/>
  <c r="B305" i="3" s="1"/>
  <c r="B353" i="3" s="1"/>
  <c r="B66" i="3"/>
  <c r="B114" i="3" s="1"/>
  <c r="B162" i="3" s="1"/>
  <c r="B210" i="3" s="1"/>
  <c r="B258" i="3" s="1"/>
  <c r="B306" i="3" s="1"/>
  <c r="B354" i="3" s="1"/>
  <c r="B67" i="3"/>
  <c r="B115" i="3" s="1"/>
  <c r="B163" i="3" s="1"/>
  <c r="B211" i="3" s="1"/>
  <c r="B259" i="3" s="1"/>
  <c r="B307" i="3" s="1"/>
  <c r="B355" i="3" s="1"/>
  <c r="B68" i="3"/>
  <c r="B116" i="3" s="1"/>
  <c r="B164" i="3" s="1"/>
  <c r="B212" i="3" s="1"/>
  <c r="B260" i="3" s="1"/>
  <c r="B308" i="3" s="1"/>
  <c r="B356" i="3" s="1"/>
  <c r="B69" i="3"/>
  <c r="B117" i="3" s="1"/>
  <c r="B165" i="3" s="1"/>
  <c r="B213" i="3" s="1"/>
  <c r="B261" i="3" s="1"/>
  <c r="B309" i="3" s="1"/>
  <c r="B357" i="3" s="1"/>
  <c r="B70" i="3"/>
  <c r="B118" i="3" s="1"/>
  <c r="B166" i="3" s="1"/>
  <c r="B214" i="3" s="1"/>
  <c r="B262" i="3" s="1"/>
  <c r="B310" i="3" s="1"/>
  <c r="B358" i="3" s="1"/>
  <c r="B71" i="3"/>
  <c r="B119" i="3" s="1"/>
  <c r="B167" i="3" s="1"/>
  <c r="B215" i="3" s="1"/>
  <c r="B263" i="3" s="1"/>
  <c r="B311" i="3" s="1"/>
  <c r="B359" i="3" s="1"/>
  <c r="B72" i="3"/>
  <c r="B120" i="3" s="1"/>
  <c r="B168" i="3" s="1"/>
  <c r="B216" i="3" s="1"/>
  <c r="B264" i="3" s="1"/>
  <c r="B312" i="3" s="1"/>
  <c r="B360" i="3" s="1"/>
  <c r="B73" i="3"/>
  <c r="B121" i="3" s="1"/>
  <c r="B169" i="3" s="1"/>
  <c r="B217" i="3" s="1"/>
  <c r="B265" i="3" s="1"/>
  <c r="B313" i="3" s="1"/>
  <c r="B361" i="3" s="1"/>
  <c r="B50" i="3"/>
  <c r="A3" i="6"/>
  <c r="G3" i="6"/>
  <c r="J3" i="6" s="1"/>
  <c r="K3" i="6" s="1"/>
  <c r="H24" i="5"/>
  <c r="I24" i="5" s="1"/>
  <c r="B24" i="5"/>
  <c r="H23" i="5"/>
  <c r="I23" i="5" s="1"/>
  <c r="B23" i="5"/>
  <c r="H22" i="5"/>
  <c r="I22" i="5" s="1"/>
  <c r="B22" i="5"/>
  <c r="H21" i="5"/>
  <c r="I21" i="5" s="1"/>
  <c r="B21" i="5"/>
  <c r="H20" i="5"/>
  <c r="I20" i="5" s="1"/>
  <c r="B20" i="5"/>
  <c r="H19" i="5"/>
  <c r="I19" i="5" s="1"/>
  <c r="B19" i="5"/>
  <c r="H18" i="5"/>
  <c r="I18" i="5" s="1"/>
  <c r="B18" i="5"/>
  <c r="H17" i="5"/>
  <c r="I17" i="5" s="1"/>
  <c r="B17" i="5"/>
  <c r="H16" i="5"/>
  <c r="I16" i="5" s="1"/>
  <c r="B16" i="5"/>
  <c r="H15" i="5"/>
  <c r="I15" i="5" s="1"/>
  <c r="B15" i="5"/>
  <c r="H14" i="5"/>
  <c r="I14" i="5" s="1"/>
  <c r="B14" i="5"/>
  <c r="H13" i="5"/>
  <c r="I13" i="5" s="1"/>
  <c r="B13" i="5"/>
  <c r="Y8" i="9" l="1" a="1"/>
  <c r="E10" i="9" a="1"/>
  <c r="I18" i="9" a="1"/>
  <c r="B5" i="9" a="1"/>
  <c r="N5" i="9" a="1"/>
  <c r="B9" i="9" a="1"/>
  <c r="C12" i="9" a="1"/>
  <c r="T4" i="9" a="1"/>
  <c r="D16" i="9" a="1"/>
  <c r="F6" i="9" a="1"/>
  <c r="R17" i="9" a="1"/>
  <c r="M18" i="9" a="1"/>
  <c r="O5" i="9" a="1"/>
  <c r="U6" i="9" a="1"/>
  <c r="E8" i="9" a="1"/>
  <c r="J5" i="9" a="1"/>
  <c r="K8" i="9" a="1"/>
  <c r="I15" i="9" a="1"/>
  <c r="H13" i="9" a="1"/>
  <c r="J10" i="9" a="1"/>
  <c r="J12" i="9" a="1"/>
  <c r="S5" i="9" a="1"/>
  <c r="K6" i="9" a="1"/>
  <c r="M5" i="9" a="1"/>
  <c r="C3" i="9" a="1"/>
  <c r="P8" i="9" a="1"/>
  <c r="R9" i="9" a="1"/>
  <c r="B7" i="9" a="1"/>
  <c r="J7" i="9" a="1"/>
  <c r="T12" i="9" a="1"/>
  <c r="P6" i="9" a="1"/>
  <c r="G7" i="9" a="1"/>
  <c r="P4" i="9" a="1"/>
  <c r="X7" i="9" a="1"/>
  <c r="F9" i="9" a="1"/>
  <c r="H4" i="9" a="1"/>
  <c r="T9" i="9" a="1"/>
  <c r="P7" i="9" a="1"/>
  <c r="G17" i="9" a="1"/>
  <c r="J13" i="9" a="1"/>
  <c r="T6" i="9" a="1"/>
  <c r="Q11" i="9" a="1"/>
  <c r="B8" i="9" a="1"/>
  <c r="P9" i="9" a="1"/>
  <c r="I16" i="9" a="1"/>
  <c r="Y6" i="9" a="1"/>
  <c r="U8" i="9" a="1"/>
  <c r="N17" i="9" a="1"/>
  <c r="J17" i="9" a="1"/>
  <c r="Y4" i="9" a="1"/>
  <c r="F16" i="9" a="1"/>
  <c r="W6" i="9" a="1"/>
  <c r="B16" i="9" a="1"/>
  <c r="H7" i="9" a="1"/>
  <c r="B10" i="9" a="1"/>
  <c r="S16" i="9" a="1"/>
  <c r="D15" i="9" a="1"/>
  <c r="G16" i="9" a="1"/>
  <c r="V11" i="9" a="1"/>
  <c r="L17" i="9" a="1"/>
  <c r="H3" i="9" a="1"/>
  <c r="T15" i="9" a="1"/>
  <c r="G13" i="9" a="1"/>
  <c r="E15" i="9" a="1"/>
  <c r="G15" i="9" a="1"/>
  <c r="M11" i="9" a="1"/>
  <c r="C11" i="9" a="1"/>
  <c r="I10" i="9" a="1"/>
  <c r="K13" i="9" a="1"/>
  <c r="N10" i="9" a="1"/>
  <c r="F4" i="9" a="1"/>
  <c r="E6" i="9" a="1"/>
  <c r="H8" i="9" a="1"/>
  <c r="P13" i="9" a="1"/>
  <c r="K10" i="9" a="1"/>
  <c r="T11" i="9" a="1"/>
  <c r="H17" i="9" a="1"/>
  <c r="T10" i="9" a="1"/>
  <c r="T18" i="9" a="1"/>
  <c r="J6" i="9" a="1"/>
  <c r="S8" i="9" a="1"/>
  <c r="W14" i="9" a="1"/>
  <c r="R11" i="9" a="1"/>
  <c r="U10" i="9" a="1"/>
  <c r="Q10" i="9" a="1"/>
  <c r="R6" i="9" a="1"/>
  <c r="Q13" i="9" a="1"/>
  <c r="V9" i="9" a="1"/>
  <c r="N16" i="9" a="1"/>
  <c r="R13" i="9" a="1"/>
  <c r="N13" i="9" a="1"/>
  <c r="O8" i="9" a="1"/>
  <c r="Y3" i="9" a="1"/>
  <c r="D12" i="9" a="1"/>
  <c r="W15" i="9" a="1"/>
  <c r="W7" i="9" a="1"/>
  <c r="O18" i="9" a="1"/>
  <c r="B3" i="9" a="1"/>
  <c r="Y16" i="9" a="1"/>
  <c r="F3" i="9" a="1"/>
  <c r="X11" i="9" a="1"/>
  <c r="C9" i="9" a="1"/>
  <c r="O12" i="9" a="1"/>
  <c r="O6" i="9" a="1"/>
  <c r="J3" i="9" a="1"/>
  <c r="W16" i="9" a="1"/>
  <c r="G3" i="9" a="1"/>
  <c r="F8" i="9" a="1"/>
  <c r="K5" i="9" a="1"/>
  <c r="U4" i="9" a="1"/>
  <c r="U15" i="9" a="1"/>
  <c r="S18" i="9" a="1"/>
  <c r="V13" i="9" a="1"/>
  <c r="D8" i="9" a="1"/>
  <c r="H6" i="9" a="1"/>
  <c r="I4" i="9" a="1"/>
  <c r="D10" i="9" a="1"/>
  <c r="T16" i="9" a="1"/>
  <c r="M10" i="9" a="1"/>
  <c r="Q12" i="9" a="1"/>
  <c r="F12" i="9" a="1"/>
  <c r="G4" i="9" a="1"/>
  <c r="D7" i="9" a="1"/>
  <c r="T13" i="9" a="1"/>
  <c r="L14" i="9" a="1"/>
  <c r="C10" i="9" a="1"/>
  <c r="V12" i="9" a="1"/>
  <c r="I9" i="9" a="1"/>
  <c r="K14" i="9" a="1"/>
  <c r="O7" i="9" a="1"/>
  <c r="Q17" i="9" a="1"/>
  <c r="S4" i="9" a="1"/>
  <c r="Q18" i="9" a="1"/>
  <c r="F15" i="9" a="1"/>
  <c r="U11" i="9" a="1"/>
  <c r="D13" i="9" a="1"/>
  <c r="X18" i="9" a="1"/>
  <c r="Q6" i="9" a="1"/>
  <c r="U13" i="9" a="1"/>
  <c r="K11" i="9" a="1"/>
  <c r="T3" i="9" a="1"/>
  <c r="R3" i="9" a="1"/>
  <c r="X12" i="9" a="1"/>
  <c r="O4" i="9" a="1"/>
  <c r="L15" i="9" a="1"/>
  <c r="E12" i="9" a="1"/>
  <c r="D14" i="9" a="1"/>
  <c r="W12" i="9" a="1"/>
  <c r="N9" i="9" a="1"/>
  <c r="D3" i="9" a="1"/>
  <c r="J9" i="9" a="1"/>
  <c r="S7" i="9" a="1"/>
  <c r="N4" i="9" a="1"/>
  <c r="V4" i="9" a="1"/>
  <c r="Q3" i="9" a="1"/>
  <c r="I14" i="9" a="1"/>
  <c r="X3" i="9" a="1"/>
  <c r="B14" i="9" a="1"/>
  <c r="H14" i="9" a="1"/>
  <c r="X8" i="9" a="1"/>
  <c r="O9" i="9" a="1"/>
  <c r="N18" i="9" a="1"/>
  <c r="S17" i="9" a="1"/>
  <c r="H18" i="9" a="1"/>
  <c r="P14" i="9" a="1"/>
  <c r="W13" i="9" a="1"/>
  <c r="J14" i="9" a="1"/>
  <c r="D17" i="9" a="1"/>
  <c r="M7" i="9" a="1"/>
  <c r="K4" i="9" a="1"/>
  <c r="T5" i="9" a="1"/>
  <c r="X16" i="9" a="1"/>
  <c r="E18" i="9" a="1"/>
  <c r="Y13" i="9" a="1"/>
  <c r="F10" i="9" a="1"/>
  <c r="P15" i="9" a="1"/>
  <c r="W3" i="9" a="1"/>
  <c r="K17" i="9" a="1"/>
  <c r="S9" i="9" a="1"/>
  <c r="K9" i="9" a="1"/>
  <c r="X15" i="9" a="1"/>
  <c r="B6" i="9" a="1"/>
  <c r="G14" i="9" a="1"/>
  <c r="M15" i="9" a="1"/>
  <c r="C13" i="9" a="1"/>
  <c r="R7" i="9" a="1"/>
  <c r="D9" i="9" a="1"/>
  <c r="Q9" i="9" a="1"/>
  <c r="C17" i="9" a="1"/>
  <c r="E5" i="9" a="1"/>
  <c r="M12" i="9" a="1"/>
  <c r="H16" i="9" a="1"/>
  <c r="Q7" i="9" a="1"/>
  <c r="Y11" i="9" a="1"/>
  <c r="N12" i="9" a="1"/>
  <c r="T8" i="9" a="1"/>
  <c r="R15" i="9" a="1"/>
  <c r="I8" i="9" a="1"/>
  <c r="G10" i="9" a="1"/>
  <c r="R12" i="9" a="1"/>
  <c r="O10" i="9" a="1"/>
  <c r="G5" i="9" a="1"/>
  <c r="H15" i="9" a="1"/>
  <c r="W4" i="9" a="1"/>
  <c r="M13" i="9" a="1"/>
  <c r="Y14" i="9" a="1"/>
  <c r="Y18" i="9" a="1"/>
  <c r="Q5" i="9" a="1"/>
  <c r="S6" i="9" a="1"/>
  <c r="X13" i="9" a="1"/>
  <c r="W9" i="9" a="1"/>
  <c r="M14" i="9" a="1"/>
  <c r="U7" i="9" a="1"/>
  <c r="K7" i="9" a="1"/>
  <c r="G8" i="9" a="1"/>
  <c r="G9" i="9" a="1"/>
  <c r="C6" i="9" a="1"/>
  <c r="X9" i="9" a="1"/>
  <c r="L11" i="9" a="1"/>
  <c r="O13" i="9" a="1"/>
  <c r="J11" i="9" a="1"/>
  <c r="S11" i="9" a="1"/>
  <c r="S15" i="9" a="1"/>
  <c r="V18" i="9" a="1"/>
  <c r="S13" i="9" a="1"/>
  <c r="E11" i="9" a="1"/>
  <c r="D18" i="9" a="1"/>
  <c r="N7" i="9" a="1"/>
  <c r="R16" i="9" a="1"/>
  <c r="W11" i="9" a="1"/>
  <c r="V7" i="9" a="1"/>
  <c r="J18" i="9" a="1"/>
  <c r="P3" i="9" a="1"/>
  <c r="H9" i="9" a="1"/>
  <c r="K3" i="9" a="1"/>
  <c r="V6" i="9" a="1"/>
  <c r="J16" i="9" a="1"/>
  <c r="S12" i="9" a="1"/>
  <c r="R18" i="9" a="1"/>
  <c r="N11" i="9" a="1"/>
  <c r="I11" i="9" a="1"/>
  <c r="P5" i="9" a="1"/>
  <c r="V3" i="9" a="1"/>
  <c r="R10" i="9" a="1"/>
  <c r="K16" i="9" a="1"/>
  <c r="H12" i="9" a="1"/>
  <c r="F13" i="9" a="1"/>
  <c r="P17" i="9" a="1"/>
  <c r="G6" i="9" a="1"/>
  <c r="C7" i="9" a="1"/>
  <c r="C15" i="9" a="1"/>
  <c r="V15" i="9" a="1"/>
  <c r="L6" i="9" a="1"/>
  <c r="G11" i="9" a="1"/>
  <c r="N3" i="9" a="1"/>
  <c r="X17" i="9" a="1"/>
  <c r="L3" i="9" a="1"/>
  <c r="P12" i="9" a="1"/>
  <c r="H10" i="9" a="1"/>
  <c r="E13" i="9" a="1"/>
  <c r="O16" i="9" a="1"/>
  <c r="W5" i="9" a="1"/>
  <c r="F14" i="9" a="1"/>
  <c r="V16" i="9" a="1"/>
  <c r="F7" i="9" a="1"/>
  <c r="U18" i="9" a="1"/>
  <c r="M3" i="9" a="1"/>
  <c r="M6" i="9" a="1"/>
  <c r="H5" i="9" a="1"/>
  <c r="U16" i="9" a="1"/>
  <c r="L4" i="9" a="1"/>
  <c r="R5" i="9" a="1"/>
  <c r="M4" i="9" a="1"/>
  <c r="L7" i="9" a="1"/>
  <c r="X5" i="9" a="1"/>
  <c r="I17" i="9" a="1"/>
  <c r="E17" i="9" a="1"/>
  <c r="V10" i="9" a="1"/>
  <c r="E9" i="9" a="1"/>
  <c r="K18" i="9" a="1"/>
  <c r="P10" i="9" a="1"/>
  <c r="U3" i="9" a="1"/>
  <c r="B18" i="9" a="1"/>
  <c r="Q16" i="9" a="1"/>
  <c r="D11" i="9" a="1"/>
  <c r="J4" i="9" a="1"/>
  <c r="K15" i="9" a="1"/>
  <c r="B4" i="9" a="1"/>
  <c r="L13" i="9" a="1"/>
  <c r="D4" i="9" a="1"/>
  <c r="P16" i="9" a="1"/>
  <c r="Q15" i="9" a="1"/>
  <c r="I3" i="9" a="1"/>
  <c r="J8" i="9" a="1"/>
  <c r="M8" i="9" a="1"/>
  <c r="U9" i="9" a="1"/>
  <c r="W10" i="9" a="1"/>
  <c r="Q8" i="9" a="1"/>
  <c r="G12" i="9" a="1"/>
  <c r="X6" i="9" a="1"/>
  <c r="E3" i="9" a="1"/>
  <c r="R14" i="9" a="1"/>
  <c r="U17" i="9" a="1"/>
  <c r="V5" i="9" a="1"/>
  <c r="P11" i="9" a="1"/>
  <c r="F11" i="9" a="1"/>
  <c r="U5" i="9" a="1"/>
  <c r="W18" i="9" a="1"/>
  <c r="C18" i="9" a="1"/>
  <c r="L16" i="9" a="1"/>
  <c r="C14" i="9" a="1"/>
  <c r="T14" i="9" a="1"/>
  <c r="V17" i="9" a="1"/>
  <c r="Y5" i="9" a="1"/>
  <c r="X10" i="9" a="1"/>
  <c r="V14" i="9" a="1"/>
  <c r="L12" i="9" a="1"/>
  <c r="N8" i="9" a="1"/>
  <c r="P18" i="9" a="1"/>
  <c r="M17" i="9" a="1"/>
  <c r="N6" i="9" a="1"/>
  <c r="N14" i="9" a="1"/>
  <c r="Y15" i="9" a="1"/>
  <c r="V8" i="9" a="1"/>
  <c r="X4" i="9" a="1"/>
  <c r="S14" i="9" a="1"/>
  <c r="S10" i="9" a="1"/>
  <c r="U12" i="9" a="1"/>
  <c r="E4" i="9" a="1"/>
  <c r="Q4" i="9" a="1"/>
  <c r="K12" i="9" a="1"/>
  <c r="Q14" i="9" a="1"/>
  <c r="Y17" i="9" a="1"/>
  <c r="C8" i="9" a="1"/>
  <c r="X14" i="9" a="1"/>
  <c r="O17" i="9" a="1"/>
  <c r="F5" i="9" a="1"/>
  <c r="L18" i="9" a="1"/>
  <c r="O14" i="9" a="1"/>
  <c r="B11" i="9" a="1"/>
  <c r="C4" i="9" a="1"/>
  <c r="E14" i="9" a="1"/>
  <c r="C5" i="9" a="1"/>
  <c r="M16" i="9" a="1"/>
  <c r="Y12" i="9" a="1"/>
  <c r="L8" i="9" a="1"/>
  <c r="T17" i="9" a="1"/>
  <c r="Y10" i="9" a="1"/>
  <c r="J15" i="9" a="1"/>
  <c r="Y9" i="9" a="1"/>
  <c r="I12" i="9" a="1"/>
  <c r="B17" i="9" a="1"/>
  <c r="R8" i="9" a="1"/>
  <c r="O3" i="9" a="1"/>
  <c r="B12" i="9" a="1"/>
  <c r="U14" i="9" a="1"/>
  <c r="H11" i="9" a="1"/>
  <c r="W8" i="9" a="1"/>
  <c r="I13" i="9" a="1"/>
  <c r="D6" i="9" a="1"/>
  <c r="B13" i="9" a="1"/>
  <c r="M9" i="9" a="1"/>
  <c r="L9" i="9" a="1"/>
  <c r="F17" i="9" a="1"/>
  <c r="G18" i="9" a="1"/>
  <c r="O11" i="9" a="1"/>
  <c r="S3" i="9" a="1"/>
  <c r="E16" i="9" a="1"/>
  <c r="W17" i="9" a="1"/>
  <c r="C16" i="9" a="1"/>
  <c r="N15" i="9" a="1"/>
  <c r="L10" i="9" a="1"/>
  <c r="O15" i="9" a="1"/>
  <c r="I6" i="9" a="1"/>
  <c r="E7" i="9" a="1"/>
  <c r="I7" i="9" a="1"/>
  <c r="D5" i="9" a="1"/>
  <c r="Y7" i="9" a="1"/>
  <c r="T7" i="9" a="1"/>
  <c r="L5" i="9" a="1"/>
  <c r="B15" i="9" a="1"/>
  <c r="F18" i="9" a="1"/>
  <c r="I5" i="9" a="1"/>
  <c r="R4" i="9" a="1"/>
  <c r="R4" i="9" l="1"/>
  <c r="I5" i="9"/>
  <c r="F18" i="9"/>
  <c r="B15" i="9"/>
  <c r="L5" i="9"/>
  <c r="T7" i="9"/>
  <c r="Y7" i="9"/>
  <c r="D5" i="9"/>
  <c r="I7" i="9"/>
  <c r="E7" i="9"/>
  <c r="I6" i="9"/>
  <c r="O15" i="9"/>
  <c r="L10" i="9"/>
  <c r="N15" i="9"/>
  <c r="C16" i="9"/>
  <c r="W17" i="9"/>
  <c r="E16" i="9"/>
  <c r="S3" i="9"/>
  <c r="O11" i="9"/>
  <c r="G18" i="9"/>
  <c r="F17" i="9"/>
  <c r="L9" i="9"/>
  <c r="M9" i="9"/>
  <c r="B13" i="9"/>
  <c r="D6" i="9"/>
  <c r="I13" i="9"/>
  <c r="W8" i="9"/>
  <c r="H11" i="9"/>
  <c r="U14" i="9"/>
  <c r="B12" i="9"/>
  <c r="O3" i="9"/>
  <c r="R8" i="9"/>
  <c r="B17" i="9"/>
  <c r="I12" i="9"/>
  <c r="Y9" i="9"/>
  <c r="J15" i="9"/>
  <c r="Y10" i="9"/>
  <c r="T17" i="9"/>
  <c r="L8" i="9"/>
  <c r="Y12" i="9"/>
  <c r="M16" i="9"/>
  <c r="C5" i="9"/>
  <c r="E14" i="9"/>
  <c r="C4" i="9"/>
  <c r="B11" i="9"/>
  <c r="O14" i="9"/>
  <c r="L18" i="9"/>
  <c r="F5" i="9"/>
  <c r="O17" i="9"/>
  <c r="X14" i="9"/>
  <c r="C8" i="9"/>
  <c r="Y17" i="9"/>
  <c r="Q14" i="9"/>
  <c r="K12" i="9"/>
  <c r="Q4" i="9"/>
  <c r="E4" i="9"/>
  <c r="U12" i="9"/>
  <c r="S10" i="9"/>
  <c r="S14" i="9"/>
  <c r="X4" i="9"/>
  <c r="V8" i="9"/>
  <c r="Y15" i="9"/>
  <c r="N14" i="9"/>
  <c r="N6" i="9"/>
  <c r="M17" i="9"/>
  <c r="P18" i="9"/>
  <c r="N8" i="9"/>
  <c r="L12" i="9"/>
  <c r="V14" i="9"/>
  <c r="X10" i="9"/>
  <c r="Y5" i="9"/>
  <c r="V17" i="9"/>
  <c r="T14" i="9"/>
  <c r="C14" i="9"/>
  <c r="L16" i="9"/>
  <c r="C18" i="9"/>
  <c r="W18" i="9"/>
  <c r="U5" i="9"/>
  <c r="F11" i="9"/>
  <c r="P11" i="9"/>
  <c r="V5" i="9"/>
  <c r="U17" i="9"/>
  <c r="R14" i="9"/>
  <c r="E3" i="9"/>
  <c r="X6" i="9"/>
  <c r="G12" i="9"/>
  <c r="Q8" i="9"/>
  <c r="W10" i="9"/>
  <c r="U9" i="9"/>
  <c r="M8" i="9"/>
  <c r="J8" i="9"/>
  <c r="I3" i="9"/>
  <c r="Q15" i="9"/>
  <c r="P16" i="9"/>
  <c r="D4" i="9"/>
  <c r="L13" i="9"/>
  <c r="B4" i="9"/>
  <c r="K15" i="9"/>
  <c r="J4" i="9"/>
  <c r="D11" i="9"/>
  <c r="Q16" i="9"/>
  <c r="B18" i="9"/>
  <c r="U3" i="9"/>
  <c r="P10" i="9"/>
  <c r="K18" i="9"/>
  <c r="E9" i="9"/>
  <c r="V10" i="9"/>
  <c r="E17" i="9"/>
  <c r="I17" i="9"/>
  <c r="X5" i="9"/>
  <c r="L7" i="9"/>
  <c r="M4" i="9"/>
  <c r="R5" i="9"/>
  <c r="L4" i="9"/>
  <c r="U16" i="9"/>
  <c r="H5" i="9"/>
  <c r="M6" i="9"/>
  <c r="M3" i="9"/>
  <c r="U18" i="9"/>
  <c r="F7" i="9"/>
  <c r="V16" i="9"/>
  <c r="F14" i="9"/>
  <c r="W5" i="9"/>
  <c r="O16" i="9"/>
  <c r="E13" i="9"/>
  <c r="H10" i="9"/>
  <c r="P12" i="9"/>
  <c r="L3" i="9"/>
  <c r="X17" i="9"/>
  <c r="N3" i="9"/>
  <c r="G11" i="9"/>
  <c r="L6" i="9"/>
  <c r="V15" i="9"/>
  <c r="C15" i="9"/>
  <c r="C7" i="9"/>
  <c r="G6" i="9"/>
  <c r="P17" i="9"/>
  <c r="F13" i="9"/>
  <c r="H12" i="9"/>
  <c r="K16" i="9"/>
  <c r="R10" i="9"/>
  <c r="V3" i="9"/>
  <c r="P5" i="9"/>
  <c r="I11" i="9"/>
  <c r="N11" i="9"/>
  <c r="R18" i="9"/>
  <c r="S12" i="9"/>
  <c r="J16" i="9"/>
  <c r="V6" i="9"/>
  <c r="K3" i="9"/>
  <c r="H9" i="9"/>
  <c r="P3" i="9"/>
  <c r="J18" i="9"/>
  <c r="V7" i="9"/>
  <c r="W11" i="9"/>
  <c r="R16" i="9"/>
  <c r="N7" i="9"/>
  <c r="D18" i="9"/>
  <c r="E11" i="9"/>
  <c r="S13" i="9"/>
  <c r="V18" i="9"/>
  <c r="S15" i="9"/>
  <c r="S11" i="9"/>
  <c r="J11" i="9"/>
  <c r="O13" i="9"/>
  <c r="L11" i="9"/>
  <c r="X9" i="9"/>
  <c r="C6" i="9"/>
  <c r="G9" i="9"/>
  <c r="G8" i="9"/>
  <c r="K7" i="9"/>
  <c r="U7" i="9"/>
  <c r="M14" i="9"/>
  <c r="W9" i="9"/>
  <c r="X13" i="9"/>
  <c r="S6" i="9"/>
  <c r="Q5" i="9"/>
  <c r="Y18" i="9"/>
  <c r="Y14" i="9"/>
  <c r="M13" i="9"/>
  <c r="W4" i="9"/>
  <c r="H15" i="9"/>
  <c r="G5" i="9"/>
  <c r="O10" i="9"/>
  <c r="R12" i="9"/>
  <c r="G10" i="9"/>
  <c r="I8" i="9"/>
  <c r="R15" i="9"/>
  <c r="T8" i="9"/>
  <c r="N12" i="9"/>
  <c r="Y11" i="9"/>
  <c r="Q7" i="9"/>
  <c r="H16" i="9"/>
  <c r="M12" i="9"/>
  <c r="E5" i="9"/>
  <c r="C17" i="9"/>
  <c r="Q9" i="9"/>
  <c r="D9" i="9"/>
  <c r="R7" i="9"/>
  <c r="C13" i="9"/>
  <c r="M15" i="9"/>
  <c r="G14" i="9"/>
  <c r="B6" i="9"/>
  <c r="X15" i="9"/>
  <c r="K9" i="9"/>
  <c r="S9" i="9"/>
  <c r="K17" i="9"/>
  <c r="W3" i="9"/>
  <c r="P15" i="9"/>
  <c r="F10" i="9"/>
  <c r="Y13" i="9"/>
  <c r="E18" i="9"/>
  <c r="X16" i="9"/>
  <c r="T5" i="9"/>
  <c r="K4" i="9"/>
  <c r="M7" i="9"/>
  <c r="D17" i="9"/>
  <c r="J14" i="9"/>
  <c r="W13" i="9"/>
  <c r="P14" i="9"/>
  <c r="H18" i="9"/>
  <c r="S17" i="9"/>
  <c r="N18" i="9"/>
  <c r="O9" i="9"/>
  <c r="X8" i="9"/>
  <c r="H14" i="9"/>
  <c r="B14" i="9"/>
  <c r="X3" i="9"/>
  <c r="I14" i="9"/>
  <c r="Q3" i="9"/>
  <c r="V4" i="9"/>
  <c r="N4" i="9"/>
  <c r="S7" i="9"/>
  <c r="J9" i="9"/>
  <c r="D3" i="9"/>
  <c r="N9" i="9"/>
  <c r="W12" i="9"/>
  <c r="D14" i="9"/>
  <c r="E12" i="9"/>
  <c r="L15" i="9"/>
  <c r="O4" i="9"/>
  <c r="X12" i="9"/>
  <c r="R3" i="9"/>
  <c r="T3" i="9"/>
  <c r="K11" i="9"/>
  <c r="U13" i="9"/>
  <c r="Q6" i="9"/>
  <c r="X18" i="9"/>
  <c r="D13" i="9"/>
  <c r="U11" i="9"/>
  <c r="F15" i="9"/>
  <c r="Q18" i="9"/>
  <c r="S4" i="9"/>
  <c r="Q17" i="9"/>
  <c r="O7" i="9"/>
  <c r="K14" i="9"/>
  <c r="I9" i="9"/>
  <c r="V12" i="9"/>
  <c r="C10" i="9"/>
  <c r="L14" i="9"/>
  <c r="T13" i="9"/>
  <c r="D7" i="9"/>
  <c r="G4" i="9"/>
  <c r="F12" i="9"/>
  <c r="Q12" i="9"/>
  <c r="M10" i="9"/>
  <c r="T16" i="9"/>
  <c r="D10" i="9"/>
  <c r="I4" i="9"/>
  <c r="H6" i="9"/>
  <c r="D8" i="9"/>
  <c r="V13" i="9"/>
  <c r="S18" i="9"/>
  <c r="U15" i="9"/>
  <c r="U4" i="9"/>
  <c r="K5" i="9"/>
  <c r="F8" i="9"/>
  <c r="G3" i="9"/>
  <c r="W16" i="9"/>
  <c r="J3" i="9"/>
  <c r="O6" i="9"/>
  <c r="O12" i="9"/>
  <c r="C9" i="9"/>
  <c r="X11" i="9"/>
  <c r="F3" i="9"/>
  <c r="Y16" i="9"/>
  <c r="B3" i="9"/>
  <c r="O18" i="9"/>
  <c r="W7" i="9"/>
  <c r="W15" i="9"/>
  <c r="D12" i="9"/>
  <c r="Y3" i="9"/>
  <c r="O8" i="9"/>
  <c r="N13" i="9"/>
  <c r="R13" i="9"/>
  <c r="N16" i="9"/>
  <c r="V9" i="9"/>
  <c r="Q13" i="9"/>
  <c r="R6" i="9"/>
  <c r="Q10" i="9"/>
  <c r="U10" i="9"/>
  <c r="R11" i="9"/>
  <c r="W14" i="9"/>
  <c r="S8" i="9"/>
  <c r="J6" i="9"/>
  <c r="T18" i="9"/>
  <c r="T10" i="9"/>
  <c r="H17" i="9"/>
  <c r="T11" i="9"/>
  <c r="K10" i="9"/>
  <c r="P13" i="9"/>
  <c r="H8" i="9"/>
  <c r="E6" i="9"/>
  <c r="F4" i="9"/>
  <c r="N10" i="9"/>
  <c r="K13" i="9"/>
  <c r="I10" i="9"/>
  <c r="C11" i="9"/>
  <c r="M11" i="9"/>
  <c r="G15" i="9"/>
  <c r="E15" i="9"/>
  <c r="G13" i="9"/>
  <c r="T15" i="9"/>
  <c r="H3" i="9"/>
  <c r="L17" i="9"/>
  <c r="V11" i="9"/>
  <c r="G16" i="9"/>
  <c r="D15" i="9"/>
  <c r="S16" i="9"/>
  <c r="B10" i="9"/>
  <c r="H7" i="9"/>
  <c r="B16" i="9"/>
  <c r="W6" i="9"/>
  <c r="F16" i="9"/>
  <c r="Y4" i="9"/>
  <c r="J17" i="9"/>
  <c r="N17" i="9"/>
  <c r="U8" i="9"/>
  <c r="Y6" i="9"/>
  <c r="I16" i="9"/>
  <c r="P9" i="9"/>
  <c r="B8" i="9"/>
  <c r="Q11" i="9"/>
  <c r="T6" i="9"/>
  <c r="J13" i="9"/>
  <c r="G17" i="9"/>
  <c r="P7" i="9"/>
  <c r="T9" i="9"/>
  <c r="H4" i="9"/>
  <c r="F9" i="9"/>
  <c r="X7" i="9"/>
  <c r="P4" i="9"/>
  <c r="G7" i="9"/>
  <c r="P6" i="9"/>
  <c r="T12" i="9"/>
  <c r="J7" i="9"/>
  <c r="B7" i="9"/>
  <c r="R9" i="9"/>
  <c r="P8" i="9"/>
  <c r="C3" i="9"/>
  <c r="M5" i="9"/>
  <c r="K6" i="9"/>
  <c r="S5" i="9"/>
  <c r="J12" i="9"/>
  <c r="J10" i="9"/>
  <c r="H13" i="9"/>
  <c r="I15" i="9"/>
  <c r="K8" i="9"/>
  <c r="J5" i="9"/>
  <c r="E8" i="9"/>
  <c r="U6" i="9"/>
  <c r="O5" i="9"/>
  <c r="M18" i="9"/>
  <c r="R17" i="9"/>
  <c r="F6" i="9"/>
  <c r="D16" i="9"/>
  <c r="T4" i="9"/>
  <c r="C12" i="9"/>
  <c r="B9" i="9"/>
  <c r="N5" i="9"/>
  <c r="B5" i="9"/>
  <c r="I18" i="9"/>
  <c r="E10" i="9"/>
  <c r="Y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<sst xmlns="http://schemas.openxmlformats.org/spreadsheetml/2006/main" count="1403" uniqueCount="537">
  <si>
    <t>Regeneration</t>
  </si>
  <si>
    <t>Sensor Check</t>
  </si>
  <si>
    <t>Loading</t>
  </si>
  <si>
    <t>Baseline</t>
  </si>
  <si>
    <t>Association</t>
  </si>
  <si>
    <t>Dissociation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</si>
  <si>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</si>
  <si>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</si>
  <si>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</si>
  <si>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</si>
  <si>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</si>
  <si>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</si>
  <si>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</si>
  <si>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</si>
  <si>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</si>
  <si>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</si>
  <si>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</t>
  </si>
  <si>
    <t>A2</t>
  </si>
  <si>
    <t>Cycle</t>
  </si>
  <si>
    <t>B1</t>
  </si>
  <si>
    <t>B3</t>
  </si>
  <si>
    <t>A13</t>
  </si>
  <si>
    <t>A14</t>
  </si>
  <si>
    <t>A15</t>
  </si>
  <si>
    <t>A16</t>
  </si>
  <si>
    <t>B2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</si>
  <si>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</si>
  <si>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</si>
  <si>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</si>
  <si>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</si>
  <si>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</si>
  <si>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</si>
  <si>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</si>
  <si>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</si>
  <si>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</si>
  <si>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</si>
  <si>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</si>
  <si>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</si>
  <si>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</si>
  <si>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</si>
  <si>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Experiment ID</t>
  </si>
  <si>
    <t>Sensor Type</t>
  </si>
  <si>
    <t>Number of Channels</t>
  </si>
  <si>
    <t>Sensor Column 1</t>
  </si>
  <si>
    <t>Sensor Column 2</t>
  </si>
  <si>
    <t>Regeneration Plate Location</t>
  </si>
  <si>
    <t>Sensor Reuse</t>
  </si>
  <si>
    <t>Well</t>
  </si>
  <si>
    <t>ID</t>
  </si>
  <si>
    <t>Replicate Group</t>
  </si>
  <si>
    <t>Group</t>
  </si>
  <si>
    <t>Concentration (µg/ml)</t>
  </si>
  <si>
    <t>Molecular Weight (kD)</t>
  </si>
  <si>
    <t>Molar Concentration (M)</t>
  </si>
  <si>
    <t>Information</t>
  </si>
  <si>
    <t>A17</t>
  </si>
  <si>
    <t>A18</t>
  </si>
  <si>
    <t>A19</t>
  </si>
  <si>
    <t>A20</t>
  </si>
  <si>
    <t>A21</t>
  </si>
  <si>
    <t>A22</t>
  </si>
  <si>
    <t>A23</t>
  </si>
  <si>
    <t>A24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</si>
  <si>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</si>
  <si>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</si>
  <si>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</si>
  <si>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</si>
  <si>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</si>
  <si>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</si>
  <si>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</si>
  <si>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</si>
  <si>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</si>
  <si>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</si>
  <si>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</si>
  <si>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</si>
  <si>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</si>
  <si>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</si>
  <si>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</si>
  <si>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</si>
  <si>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</si>
  <si>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</si>
  <si>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</si>
  <si>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</si>
  <si>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</si>
  <si>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</si>
  <si>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</si>
  <si>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</si>
  <si>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</si>
  <si>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</si>
  <si>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</si>
  <si>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</si>
  <si>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</si>
  <si>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</si>
  <si>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</si>
  <si>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</si>
  <si>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</si>
  <si>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</si>
  <si>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</si>
  <si>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</si>
  <si>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</si>
  <si>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</si>
  <si>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</si>
  <si>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</si>
  <si>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</si>
  <si>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</si>
  <si>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</si>
  <si>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</si>
  <si>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</si>
  <si>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</si>
  <si>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</si>
  <si>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</si>
  <si>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</si>
  <si>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</si>
  <si>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</si>
  <si>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</si>
  <si>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</si>
  <si>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</si>
  <si>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</si>
  <si>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</si>
  <si>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</si>
  <si>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</si>
  <si>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</si>
  <si>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</si>
  <si>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</si>
  <si>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</si>
  <si>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</si>
  <si>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</si>
  <si>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</si>
  <si>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</si>
  <si>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</si>
  <si>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</si>
  <si>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</si>
  <si>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</si>
  <si>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</si>
  <si>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</si>
  <si>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</si>
  <si>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</si>
  <si>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</si>
  <si>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</si>
  <si>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</si>
  <si>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</si>
  <si>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</si>
  <si>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</si>
  <si>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</si>
  <si>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</si>
  <si>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</si>
  <si>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</si>
  <si>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</si>
  <si>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</si>
  <si>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</si>
  <si>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</si>
  <si>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</si>
  <si>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</si>
  <si>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</si>
  <si>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</si>
  <si>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</si>
  <si>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</si>
  <si>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</si>
  <si>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</si>
  <si>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</si>
  <si>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</si>
  <si>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</si>
  <si>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</si>
  <si>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</si>
  <si>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</si>
  <si>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</si>
  <si>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</si>
  <si>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</si>
  <si>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</si>
  <si>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</si>
  <si>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</si>
  <si>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</si>
  <si>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</si>
  <si>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</si>
  <si>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</si>
  <si>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</si>
  <si>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</si>
  <si>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</si>
  <si>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</si>
  <si>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</si>
  <si>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</si>
  <si>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</si>
  <si>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</si>
  <si>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</si>
  <si>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</si>
  <si>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</si>
  <si>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</si>
  <si>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</si>
  <si>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</si>
  <si>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</si>
  <si>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</si>
  <si>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</si>
  <si>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</si>
  <si>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</si>
  <si>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</si>
  <si>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</si>
  <si>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</si>
  <si>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</si>
  <si>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</si>
  <si>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</si>
  <si>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</si>
  <si>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</si>
  <si>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</si>
  <si>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</si>
  <si>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</si>
  <si>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</si>
  <si>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</si>
  <si>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</si>
  <si>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</si>
  <si>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</si>
  <si>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</si>
  <si>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</si>
  <si>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</si>
  <si>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</si>
  <si>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</si>
  <si>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</si>
  <si>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</si>
  <si>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</si>
  <si>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</si>
  <si>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</si>
  <si>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</si>
  <si>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</si>
  <si>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</si>
  <si>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</si>
  <si>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</si>
  <si>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</si>
  <si>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</si>
  <si>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</si>
  <si>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</si>
  <si>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</si>
  <si>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</si>
  <si>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</si>
  <si>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</si>
  <si>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</si>
  <si>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</si>
  <si>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</si>
  <si>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</si>
  <si>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</si>
  <si>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</si>
  <si>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</si>
  <si>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</si>
  <si>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</si>
  <si>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</si>
  <si>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</si>
  <si>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</si>
  <si>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</si>
  <si>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</si>
  <si>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</si>
  <si>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</si>
  <si>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</si>
  <si>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</si>
  <si>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</si>
  <si>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</si>
  <si>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</si>
  <si>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</si>
  <si>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</si>
  <si>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</si>
  <si>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</si>
  <si>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</si>
  <si>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</si>
  <si>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</si>
  <si>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</si>
  <si>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</si>
  <si>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</si>
  <si>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</si>
  <si>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</si>
  <si>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</si>
  <si>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</si>
  <si>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</si>
  <si>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</si>
  <si>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</si>
  <si>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</si>
  <si>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</si>
  <si>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</si>
  <si>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</si>
  <si>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</si>
  <si>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</si>
  <si>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</si>
  <si>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</si>
  <si>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</si>
  <si>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</si>
  <si>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</si>
  <si>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</si>
  <si>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</si>
  <si>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</si>
  <si>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</si>
  <si>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</si>
  <si>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</si>
  <si>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</si>
  <si>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</si>
  <si>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</si>
  <si>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</si>
  <si>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</si>
  <si>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</si>
  <si>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</si>
  <si>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</si>
  <si>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</si>
  <si>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</si>
  <si>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</si>
  <si>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</si>
  <si>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</si>
  <si>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</si>
  <si>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</si>
  <si>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</si>
  <si>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</si>
  <si>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</si>
  <si>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</si>
  <si>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</si>
  <si>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</si>
  <si>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</si>
  <si>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</si>
  <si>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</si>
  <si>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</si>
  <si>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</si>
  <si>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</si>
  <si>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</si>
  <si>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</si>
  <si>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</si>
  <si>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</si>
  <si>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</si>
  <si>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</si>
  <si>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</si>
  <si>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</si>
  <si>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</si>
  <si>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</si>
  <si>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</si>
  <si>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</si>
  <si>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</si>
  <si>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</si>
  <si>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</si>
  <si>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</si>
  <si>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</si>
  <si>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</si>
  <si>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</si>
  <si>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</si>
  <si>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</si>
  <si>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</si>
  <si>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</si>
  <si>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</si>
  <si>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</si>
  <si>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</si>
  <si>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</si>
  <si>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</si>
  <si>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</si>
  <si>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</si>
  <si>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</si>
  <si>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</si>
  <si>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</si>
  <si>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</si>
  <si>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</si>
  <si>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</si>
  <si>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</si>
  <si>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</si>
  <si>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</si>
  <si>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</si>
  <si>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</si>
  <si>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</si>
  <si>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</si>
  <si>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</si>
  <si>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</si>
  <si>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</si>
  <si>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</si>
  <si>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</si>
  <si>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</si>
  <si>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</si>
  <si>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</si>
  <si>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</si>
  <si>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</si>
  <si>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</si>
  <si>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</si>
  <si>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</si>
  <si>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</si>
  <si>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</si>
  <si>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</si>
  <si>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</si>
  <si>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</si>
  <si>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</si>
  <si>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</si>
  <si>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</si>
  <si>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</si>
  <si>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</si>
  <si>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</si>
  <si>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</si>
  <si>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</si>
  <si>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</si>
  <si>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</si>
  <si>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</si>
  <si>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</si>
  <si>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</si>
  <si>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</si>
  <si>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</si>
  <si>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</si>
  <si>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</si>
  <si>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</si>
  <si>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</si>
  <si>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</si>
  <si>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</si>
  <si>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</si>
  <si>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</si>
  <si>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</si>
  <si>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</si>
  <si>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</si>
  <si>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</si>
  <si>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</si>
  <si>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</si>
  <si>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</si>
  <si>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EXPERIMENT INFO</t>
  </si>
  <si>
    <t>VALUE</t>
  </si>
  <si>
    <t>Loading Time (s)</t>
  </si>
  <si>
    <t>Baseline Time (s)</t>
  </si>
  <si>
    <t>Association Time (s)</t>
  </si>
  <si>
    <t>Dissociation Time (s)</t>
  </si>
  <si>
    <t>AHC (Anti-hIgG Fc Capture)</t>
  </si>
  <si>
    <t>Sensor Bound Protein</t>
  </si>
  <si>
    <t>Molecule_ID</t>
  </si>
  <si>
    <t>Purification_ID</t>
  </si>
  <si>
    <t>Final_Concentration</t>
  </si>
  <si>
    <t>Final Conc (mg/mL)</t>
  </si>
  <si>
    <t>Final Vol. (uL)</t>
  </si>
  <si>
    <t>Vol. Protein (uL)</t>
  </si>
  <si>
    <t>Vol. Buffer (uL)</t>
  </si>
  <si>
    <t>Antigen Protein</t>
  </si>
  <si>
    <t>Molecule ID</t>
  </si>
  <si>
    <t>P# Or Lot#</t>
  </si>
  <si>
    <t>More Name Info</t>
  </si>
  <si>
    <t>MW(Da)</t>
  </si>
  <si>
    <t>Stock Conc (mg/mL)</t>
  </si>
  <si>
    <t>Stock Conc (uM)</t>
  </si>
  <si>
    <t>Final Conc. (uM)</t>
  </si>
  <si>
    <t>Vol. Antigen (uL)</t>
  </si>
  <si>
    <r>
      <rPr>
        <b/>
        <sz val="12"/>
        <color theme="1"/>
        <rFont val="Calibri"/>
        <family val="2"/>
      </rPr>
      <t>Name</t>
    </r>
    <r>
      <rPr>
        <b/>
        <sz val="11"/>
        <color theme="1"/>
        <rFont val="Calibri"/>
        <family val="2"/>
      </rPr>
      <t xml:space="preserve"> (DO NOT EDIT)</t>
    </r>
  </si>
  <si>
    <t>Sample Plate 1 Visualization - DO NOT EDIT</t>
  </si>
  <si>
    <t>Pulls from SamplePlate1 Sheet</t>
  </si>
  <si>
    <t>384 Well Plate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</si>
  <si>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</si>
  <si>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</si>
  <si>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</si>
  <si>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</si>
  <si>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</si>
  <si>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</si>
  <si>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</si>
  <si>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</si>
  <si>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</si>
  <si>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</si>
  <si>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</si>
  <si>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</si>
  <si>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</si>
  <si>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</si>
  <si>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</si>
  <si>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</si>
  <si>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Source Well</t>
  </si>
  <si>
    <t>SI-157X47</t>
  </si>
  <si>
    <t>P5533</t>
  </si>
  <si>
    <t>SI-157X56</t>
  </si>
  <si>
    <t>P5534</t>
  </si>
  <si>
    <t>SI-157X61</t>
  </si>
  <si>
    <t>P5535</t>
  </si>
  <si>
    <t>SI-157X62</t>
  </si>
  <si>
    <t>P5536</t>
  </si>
  <si>
    <t>SI-157X63</t>
  </si>
  <si>
    <t>P5537</t>
  </si>
  <si>
    <t>SI-157X64</t>
  </si>
  <si>
    <t>P5538</t>
  </si>
  <si>
    <t>SI-157X49</t>
  </si>
  <si>
    <t>P5563</t>
  </si>
  <si>
    <t>SI-157X50</t>
  </si>
  <si>
    <t>P5564</t>
  </si>
  <si>
    <t>SI-157X53</t>
  </si>
  <si>
    <t>P5565</t>
  </si>
  <si>
    <t>SI-157X57</t>
  </si>
  <si>
    <t>P5566</t>
  </si>
  <si>
    <t>SI-157X65</t>
  </si>
  <si>
    <t>P5567</t>
  </si>
  <si>
    <t>SI-157X66</t>
  </si>
  <si>
    <t>P5568</t>
  </si>
  <si>
    <t>SI-157X67</t>
  </si>
  <si>
    <t>P5569</t>
  </si>
  <si>
    <t>SI-157X68</t>
  </si>
  <si>
    <t>P5570</t>
  </si>
  <si>
    <t>SI-83X1</t>
  </si>
  <si>
    <t>SI-157C11</t>
  </si>
  <si>
    <t>P5158</t>
  </si>
  <si>
    <t>SI-157C12</t>
  </si>
  <si>
    <t>P5159</t>
  </si>
  <si>
    <t>SI-157C13</t>
  </si>
  <si>
    <t>P5198</t>
  </si>
  <si>
    <t>SI-157C14</t>
  </si>
  <si>
    <t>P5199</t>
  </si>
  <si>
    <t>SI-157C15</t>
  </si>
  <si>
    <t>P5235</t>
  </si>
  <si>
    <t>SI-157C16</t>
  </si>
  <si>
    <t>P5236</t>
  </si>
  <si>
    <t>SI-157C17</t>
  </si>
  <si>
    <t>P5237</t>
  </si>
  <si>
    <t>SI-157C18</t>
  </si>
  <si>
    <t>P5317</t>
  </si>
  <si>
    <t>SI-157C19</t>
  </si>
  <si>
    <t>P5365</t>
  </si>
  <si>
    <t>P5364</t>
  </si>
  <si>
    <t>hsCD3d/e</t>
  </si>
  <si>
    <t>Acro_CDD-H52W1</t>
  </si>
  <si>
    <t>CD3 Rack B Box 13</t>
  </si>
  <si>
    <t>SI-157C11_P5158</t>
  </si>
  <si>
    <t>SI-157C12_P5159</t>
  </si>
  <si>
    <t>SI-157C13_P5198</t>
  </si>
  <si>
    <t>SI-157C14_P5199</t>
  </si>
  <si>
    <t>SI-157C15_P5235</t>
  </si>
  <si>
    <t>SI-157C16_P5236</t>
  </si>
  <si>
    <t>SI-157C17_P5237</t>
  </si>
  <si>
    <t>SI-157C18_P5317</t>
  </si>
  <si>
    <t>SI-83X1_P5364</t>
  </si>
  <si>
    <t>SI-157C19_P5365</t>
  </si>
  <si>
    <t>SI-157X47_P5533</t>
  </si>
  <si>
    <t>SI-157X56_P5534</t>
  </si>
  <si>
    <t>SI-157X61_P5535</t>
  </si>
  <si>
    <t>SI-157X62_P5536</t>
  </si>
  <si>
    <t>SI-157X63_P5537</t>
  </si>
  <si>
    <t>SI-157X64_P5538</t>
  </si>
  <si>
    <t>SI-157X49_P5563</t>
  </si>
  <si>
    <t>SI-157X50_P5564</t>
  </si>
  <si>
    <t>SI-157X53_P5565</t>
  </si>
  <si>
    <t>SI-157X57_P5566</t>
  </si>
  <si>
    <t>SI-157X65_P5567</t>
  </si>
  <si>
    <t>SI-157X66_P5568</t>
  </si>
  <si>
    <t>SI-157X67_P5569</t>
  </si>
  <si>
    <t>SI-157X68_P5570</t>
  </si>
  <si>
    <t>Octet Buffer</t>
  </si>
  <si>
    <t>hsCD3d/e_Acro_CDD-H52W1</t>
  </si>
  <si>
    <t>Buffer</t>
  </si>
  <si>
    <t>Sample</t>
  </si>
  <si>
    <t>Load</t>
  </si>
  <si>
    <t>Glycine</t>
  </si>
  <si>
    <t>PBS</t>
  </si>
  <si>
    <t>Neutralization</t>
  </si>
  <si>
    <t>Reference</t>
  </si>
  <si>
    <t>OE292</t>
  </si>
  <si>
    <t>Name (DO NOT EDIT)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</si>
</sst>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1" fillId="0" borderId="0" xfId="1" applyFont="1" applyAlignment="1">
      <alignment horizontal="center"/>
    </xf>
    <xf numFmtId="0" fontId="4" fillId="0" borderId="0" xfId="1" applyFont="1"/>
    <xf numFmtId="0" fontId="1" fillId="0" borderId="3" xfId="1" applyFont="1" applyBorder="1"/>
    <xf numFmtId="0" fontId="4" fillId="0" borderId="3" xfId="1" applyFont="1" applyBorder="1"/>
    <xf numFmtId="164" fontId="4" fillId="0" borderId="3" xfId="1" applyNumberFormat="1" applyFont="1" applyBorder="1"/>
    <xf numFmtId="0" fontId="1" fillId="0" borderId="3" xfId="1" applyFont="1" applyBorder="1" applyAlignment="1">
      <alignment horizontal="center"/>
    </xf>
    <xf numFmtId="2" fontId="4" fillId="0" borderId="3" xfId="1" applyNumberFormat="1" applyFont="1" applyBorder="1"/>
    <xf numFmtId="164" fontId="4" fillId="0" borderId="0" xfId="1" applyNumberFormat="1" applyFont="1"/>
    <xf numFmtId="2" fontId="4" fillId="0" borderId="0" xfId="1" applyNumberFormat="1" applyFont="1"/>
    <xf numFmtId="0" fontId="1" fillId="0" borderId="0" xfId="1" applyFont="1"/>
    <xf numFmtId="0" fontId="0" fillId="0" borderId="3" xfId="0" applyBorder="1"/>
    <xf numFmtId="0" fontId="0" fillId="0" borderId="3" xfId="1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/>
    </xf>
    <xf numFmtId="0" fontId="1" fillId="0" borderId="2" xfId="1" applyFont="1" applyBorder="1" applyAlignment="1">
      <alignment horizontal="left"/>
    </xf>
  </cellXfs>
  <cellStyles count="2">
    <cellStyle name="Normal" xfId="0" builtinId="0"/>
    <cellStyle name="Normal 2" xfId="1" xr:uid="{7F023DFF-0C1B-4AA6-BA64-7031928AEFFD}"/>
  </cellStyles>
  <dxfs count="1"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35FF-96E2-49FF-B800-4F3E1AE2BE7E}">
  <dimension ref="A1:B12"/>
  <sheetViews>
    <sheetView workbookViewId="0">
      <selection activeCell="B8" sqref="B8"/>
    </sheetView>
  </sheetViews>
  <sheetFormatPr defaultRowHeight="15" x14ac:dyDescent="0.25"/>
  <cols>
    <col min="1" max="1" width="24.85546875" bestFit="1" customWidth="1"/>
  </cols>
  <sheetData>
    <row r="1" spans="1:2" ht="15.75" x14ac:dyDescent="0.25">
      <c r="A1" s="4" t="s">
        <v>406</v>
      </c>
      <c r="B1" s="4" t="s">
        <v>407</v>
      </c>
    </row>
    <row r="2" spans="1:2" x14ac:dyDescent="0.25">
      <c r="A2" t="s">
        <v>40</v>
      </c>
      <c r="B2" s="5" t="s">
        <v>535</v>
      </c>
    </row>
    <row r="3" spans="1:2" x14ac:dyDescent="0.25">
      <c r="A3" t="s">
        <v>41</v>
      </c>
      <c r="B3" s="5" t="s">
        <v>412</v>
      </c>
    </row>
    <row r="4" spans="1:2" x14ac:dyDescent="0.25">
      <c r="A4" t="s">
        <v>42</v>
      </c>
      <c r="B4" s="5">
        <v>16</v>
      </c>
    </row>
    <row r="5" spans="1:2" x14ac:dyDescent="0.25">
      <c r="A5" t="s">
        <v>45</v>
      </c>
      <c r="B5" s="5">
        <v>1</v>
      </c>
    </row>
    <row r="6" spans="1:2" x14ac:dyDescent="0.25">
      <c r="A6" t="s">
        <v>43</v>
      </c>
      <c r="B6" s="5">
        <v>11</v>
      </c>
    </row>
    <row r="7" spans="1:2" x14ac:dyDescent="0.25">
      <c r="A7" t="s">
        <v>44</v>
      </c>
      <c r="B7" s="5">
        <v>12</v>
      </c>
    </row>
    <row r="8" spans="1:2" x14ac:dyDescent="0.25">
      <c r="A8" t="s">
        <v>46</v>
      </c>
      <c r="B8" s="5" t="b">
        <v>0</v>
      </c>
    </row>
    <row r="9" spans="1:2" x14ac:dyDescent="0.25">
      <c r="A9" t="s">
        <v>408</v>
      </c>
      <c r="B9" s="5">
        <v>120</v>
      </c>
    </row>
    <row r="10" spans="1:2" x14ac:dyDescent="0.25">
      <c r="A10" t="s">
        <v>409</v>
      </c>
      <c r="B10" s="5">
        <v>100</v>
      </c>
    </row>
    <row r="11" spans="1:2" x14ac:dyDescent="0.25">
      <c r="A11" t="s">
        <v>410</v>
      </c>
      <c r="B11" s="5">
        <v>180</v>
      </c>
    </row>
    <row r="12" spans="1:2" x14ac:dyDescent="0.25">
      <c r="A12" t="s">
        <v>411</v>
      </c>
      <c r="B12" s="5">
        <v>300</v>
      </c>
    </row>
  </sheetData>
  <dataValidations count="5">
    <dataValidation type="list" allowBlank="1" showInputMessage="1" showErrorMessage="1" sqref="B8" xr:uid="{A26B2F67-CE53-4F6F-98A4-5B62CAEAFE8A}">
      <formula1>"True,False"</formula1>
    </dataValidation>
    <dataValidation type="list" allowBlank="1" showInputMessage="1" showErrorMessage="1" sqref="B6" xr:uid="{21D422B8-37FB-4BBE-8B39-88925B468BDF}">
      <formula1>"1,2,3,4,5,6,7,8,9,10,11,12"</formula1>
    </dataValidation>
    <dataValidation type="list" allowBlank="1" showInputMessage="1" showErrorMessage="1" sqref="B4" xr:uid="{50769E09-C77A-4FFB-9AC1-A3C58983701B}">
      <formula1>"8,16"</formula1>
    </dataValidation>
    <dataValidation type="list" allowBlank="1" showInputMessage="1" showErrorMessage="1" sqref="B5" xr:uid="{A659ABEB-2A38-4E0E-B5AD-0C3E9A7A0E8F}">
      <formula1>"1,2"</formula1>
    </dataValidation>
    <dataValidation type="list" allowBlank="1" showInputMessage="1" showErrorMessage="1" sqref="B7" xr:uid="{971744DF-BB41-45FF-92E6-F7A58C57B6DF}">
      <formula1>"None,1,2,3,4,5,6,7,8,9,10,11,12"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4CCD-EB6A-4E54-87EB-EAE8ED4AD744}">
  <dimension ref="A1:H385"/>
  <sheetViews>
    <sheetView workbookViewId="0">
      <pane ySplit="1" topLeftCell="A2" activePane="bottomLeft" state="frozen"/>
      <selection pane="bottomLeft" activeCell="E30" sqref="E30"/>
    </sheetView>
  </sheetViews>
  <sheetFormatPr defaultRowHeight="15" x14ac:dyDescent="0.25"/>
  <cols>
    <col min="1" max="1" width="9.140625" style="3"/>
    <col min="2" max="2" width="28.28515625" bestFit="1" customWidth="1"/>
    <col min="3" max="3" width="15.42578125" bestFit="1" customWidth="1"/>
    <col min="4" max="4" width="13.85546875" bestFit="1" customWidth="1"/>
    <col min="5" max="5" width="21" bestFit="1" customWidth="1"/>
    <col min="6" max="6" width="19.7109375" bestFit="1" customWidth="1"/>
    <col min="7" max="7" width="21.85546875" bestFit="1" customWidth="1"/>
    <col min="8" max="8" width="10.7109375" bestFit="1" customWidth="1"/>
  </cols>
  <sheetData>
    <row r="1" spans="1:8" x14ac:dyDescent="0.2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</row>
    <row r="2" spans="1:8" x14ac:dyDescent="0.25">
      <c r="A2" s="3" t="s">
        <v>16</v>
      </c>
      <c r="B2" t="s">
        <v>526</v>
      </c>
      <c r="D2" t="s">
        <v>528</v>
      </c>
      <c r="G2" s="2"/>
    </row>
    <row r="3" spans="1:8" x14ac:dyDescent="0.25">
      <c r="A3" s="3" t="s">
        <v>17</v>
      </c>
      <c r="B3" t="s">
        <v>527</v>
      </c>
      <c r="D3" t="s">
        <v>529</v>
      </c>
      <c r="G3" s="2">
        <v>1.9999999999999999E-7</v>
      </c>
    </row>
    <row r="4" spans="1:8" x14ac:dyDescent="0.25">
      <c r="A4" s="3" t="s">
        <v>6</v>
      </c>
      <c r="B4" t="s">
        <v>526</v>
      </c>
      <c r="D4" t="s">
        <v>528</v>
      </c>
      <c r="G4" s="2"/>
    </row>
    <row r="5" spans="1:8" x14ac:dyDescent="0.25">
      <c r="A5" s="3" t="s">
        <v>7</v>
      </c>
      <c r="B5" t="s">
        <v>527</v>
      </c>
      <c r="D5" t="s">
        <v>529</v>
      </c>
      <c r="G5" s="2">
        <v>1.9999999999999999E-7</v>
      </c>
    </row>
    <row r="6" spans="1:8" x14ac:dyDescent="0.25">
      <c r="A6" s="3" t="s">
        <v>8</v>
      </c>
      <c r="B6" t="s">
        <v>502</v>
      </c>
      <c r="D6" t="s">
        <v>530</v>
      </c>
      <c r="E6">
        <v>5</v>
      </c>
      <c r="G6" s="2"/>
    </row>
    <row r="7" spans="1:8" x14ac:dyDescent="0.25">
      <c r="A7" s="3" t="s">
        <v>9</v>
      </c>
      <c r="B7" t="s">
        <v>503</v>
      </c>
      <c r="D7" t="s">
        <v>530</v>
      </c>
      <c r="E7">
        <v>5</v>
      </c>
      <c r="G7" s="2"/>
    </row>
    <row r="8" spans="1:8" x14ac:dyDescent="0.25">
      <c r="A8" s="3" t="s">
        <v>10</v>
      </c>
      <c r="B8" t="s">
        <v>504</v>
      </c>
      <c r="D8" t="s">
        <v>530</v>
      </c>
      <c r="E8">
        <v>5</v>
      </c>
      <c r="G8" s="2"/>
    </row>
    <row r="9" spans="1:8" x14ac:dyDescent="0.25">
      <c r="A9" s="3" t="s">
        <v>11</v>
      </c>
      <c r="B9" t="s">
        <v>505</v>
      </c>
      <c r="D9" t="s">
        <v>530</v>
      </c>
      <c r="E9">
        <v>5</v>
      </c>
      <c r="G9" s="2"/>
    </row>
    <row r="10" spans="1:8" x14ac:dyDescent="0.25">
      <c r="A10" s="3" t="s">
        <v>12</v>
      </c>
      <c r="B10" t="s">
        <v>506</v>
      </c>
      <c r="D10" t="s">
        <v>530</v>
      </c>
      <c r="E10">
        <v>5</v>
      </c>
      <c r="G10" s="2"/>
    </row>
    <row r="11" spans="1:8" x14ac:dyDescent="0.25">
      <c r="A11" s="3" t="s">
        <v>13</v>
      </c>
      <c r="B11" t="s">
        <v>507</v>
      </c>
      <c r="D11" t="s">
        <v>530</v>
      </c>
      <c r="E11">
        <v>5</v>
      </c>
      <c r="G11" s="2"/>
    </row>
    <row r="12" spans="1:8" x14ac:dyDescent="0.25">
      <c r="A12" s="3" t="s">
        <v>14</v>
      </c>
      <c r="B12" t="s">
        <v>508</v>
      </c>
      <c r="D12" t="s">
        <v>530</v>
      </c>
      <c r="E12">
        <v>5</v>
      </c>
      <c r="G12" s="2"/>
    </row>
    <row r="13" spans="1:8" x14ac:dyDescent="0.25">
      <c r="A13" s="3" t="s">
        <v>15</v>
      </c>
      <c r="B13" t="s">
        <v>509</v>
      </c>
      <c r="D13" t="s">
        <v>530</v>
      </c>
      <c r="E13">
        <v>5</v>
      </c>
      <c r="G13" s="2"/>
    </row>
    <row r="14" spans="1:8" x14ac:dyDescent="0.25">
      <c r="A14" s="3" t="s">
        <v>21</v>
      </c>
      <c r="B14" t="s">
        <v>510</v>
      </c>
      <c r="D14" t="s">
        <v>530</v>
      </c>
      <c r="E14">
        <v>5</v>
      </c>
      <c r="G14" s="2"/>
    </row>
    <row r="15" spans="1:8" x14ac:dyDescent="0.25">
      <c r="A15" s="3" t="s">
        <v>22</v>
      </c>
      <c r="B15" t="s">
        <v>511</v>
      </c>
      <c r="D15" t="s">
        <v>530</v>
      </c>
      <c r="E15">
        <v>5</v>
      </c>
      <c r="G15" s="2"/>
    </row>
    <row r="16" spans="1:8" x14ac:dyDescent="0.25">
      <c r="A16" s="3" t="s">
        <v>23</v>
      </c>
      <c r="B16" t="s">
        <v>512</v>
      </c>
      <c r="D16" t="s">
        <v>530</v>
      </c>
      <c r="E16">
        <v>5</v>
      </c>
      <c r="G16" s="2"/>
    </row>
    <row r="17" spans="1:7" x14ac:dyDescent="0.25">
      <c r="A17" s="3" t="s">
        <v>24</v>
      </c>
      <c r="B17" t="s">
        <v>513</v>
      </c>
      <c r="D17" t="s">
        <v>530</v>
      </c>
      <c r="E17">
        <v>5</v>
      </c>
      <c r="G17" s="2"/>
    </row>
    <row r="18" spans="1:7" x14ac:dyDescent="0.25">
      <c r="A18" s="3" t="s">
        <v>55</v>
      </c>
      <c r="B18" t="s">
        <v>514</v>
      </c>
      <c r="D18" t="s">
        <v>530</v>
      </c>
      <c r="E18">
        <v>5</v>
      </c>
      <c r="G18" s="2"/>
    </row>
    <row r="19" spans="1:7" x14ac:dyDescent="0.25">
      <c r="A19" s="3" t="s">
        <v>56</v>
      </c>
      <c r="B19" t="s">
        <v>515</v>
      </c>
      <c r="D19" t="s">
        <v>530</v>
      </c>
      <c r="E19">
        <v>5</v>
      </c>
      <c r="G19" s="2"/>
    </row>
    <row r="20" spans="1:7" x14ac:dyDescent="0.25">
      <c r="A20" s="3" t="s">
        <v>57</v>
      </c>
      <c r="B20" t="s">
        <v>516</v>
      </c>
      <c r="D20" t="s">
        <v>530</v>
      </c>
      <c r="E20">
        <v>5</v>
      </c>
      <c r="G20" s="2"/>
    </row>
    <row r="21" spans="1:7" x14ac:dyDescent="0.25">
      <c r="A21" s="3" t="s">
        <v>58</v>
      </c>
      <c r="B21" t="s">
        <v>517</v>
      </c>
      <c r="D21" t="s">
        <v>530</v>
      </c>
      <c r="E21">
        <v>5</v>
      </c>
      <c r="G21" s="2"/>
    </row>
    <row r="22" spans="1:7" x14ac:dyDescent="0.25">
      <c r="A22" s="3" t="s">
        <v>59</v>
      </c>
      <c r="B22" t="s">
        <v>518</v>
      </c>
      <c r="D22" t="s">
        <v>530</v>
      </c>
      <c r="E22">
        <v>5</v>
      </c>
      <c r="G22" s="2"/>
    </row>
    <row r="23" spans="1:7" x14ac:dyDescent="0.25">
      <c r="A23" s="3" t="s">
        <v>60</v>
      </c>
      <c r="B23" t="s">
        <v>519</v>
      </c>
      <c r="D23" t="s">
        <v>530</v>
      </c>
      <c r="E23">
        <v>5</v>
      </c>
      <c r="G23" s="2"/>
    </row>
    <row r="24" spans="1:7" x14ac:dyDescent="0.25">
      <c r="A24" s="3" t="s">
        <v>61</v>
      </c>
      <c r="B24" t="s">
        <v>520</v>
      </c>
      <c r="D24" t="s">
        <v>530</v>
      </c>
      <c r="E24">
        <v>5</v>
      </c>
      <c r="G24" s="2"/>
    </row>
    <row r="25" spans="1:7" x14ac:dyDescent="0.25">
      <c r="A25" s="3" t="s">
        <v>62</v>
      </c>
      <c r="B25" t="s">
        <v>521</v>
      </c>
      <c r="D25" t="s">
        <v>530</v>
      </c>
      <c r="E25">
        <v>5</v>
      </c>
      <c r="G25" s="2"/>
    </row>
    <row r="26" spans="1:7" x14ac:dyDescent="0.25">
      <c r="A26" s="3" t="s">
        <v>19</v>
      </c>
      <c r="B26" t="s">
        <v>522</v>
      </c>
      <c r="D26" t="s">
        <v>530</v>
      </c>
      <c r="E26">
        <v>5</v>
      </c>
      <c r="G26" s="2"/>
    </row>
    <row r="27" spans="1:7" x14ac:dyDescent="0.25">
      <c r="A27" s="3" t="s">
        <v>25</v>
      </c>
      <c r="B27" s="7" t="s">
        <v>523</v>
      </c>
      <c r="D27" t="s">
        <v>530</v>
      </c>
      <c r="E27">
        <v>5</v>
      </c>
      <c r="G27" s="2"/>
    </row>
    <row r="28" spans="1:7" x14ac:dyDescent="0.25">
      <c r="A28" s="3" t="s">
        <v>20</v>
      </c>
      <c r="B28" s="7" t="s">
        <v>524</v>
      </c>
      <c r="D28" t="s">
        <v>530</v>
      </c>
      <c r="E28">
        <v>5</v>
      </c>
      <c r="G28" s="2"/>
    </row>
    <row r="29" spans="1:7" x14ac:dyDescent="0.25">
      <c r="A29" s="3" t="s">
        <v>26</v>
      </c>
      <c r="B29" s="7" t="s">
        <v>525</v>
      </c>
      <c r="D29" t="s">
        <v>530</v>
      </c>
      <c r="E29">
        <v>5</v>
      </c>
      <c r="G29" s="2"/>
    </row>
    <row r="30" spans="1:7" x14ac:dyDescent="0.25">
      <c r="A30" s="3" t="s">
        <v>27</v>
      </c>
      <c r="B30" s="7" t="s">
        <v>531</v>
      </c>
      <c r="D30" t="s">
        <v>0</v>
      </c>
      <c r="G30" s="2"/>
    </row>
    <row r="31" spans="1:7" x14ac:dyDescent="0.25">
      <c r="A31" s="3" t="s">
        <v>28</v>
      </c>
      <c r="B31" s="7" t="s">
        <v>532</v>
      </c>
      <c r="D31" t="s">
        <v>533</v>
      </c>
      <c r="G31" s="2"/>
    </row>
    <row r="32" spans="1:7" x14ac:dyDescent="0.25">
      <c r="A32" s="3" t="s">
        <v>29</v>
      </c>
      <c r="B32" s="7" t="s">
        <v>531</v>
      </c>
      <c r="D32" t="s">
        <v>0</v>
      </c>
      <c r="G32" s="2"/>
    </row>
    <row r="33" spans="1:7" x14ac:dyDescent="0.25">
      <c r="A33" s="3" t="s">
        <v>30</v>
      </c>
      <c r="B33" s="7" t="s">
        <v>532</v>
      </c>
      <c r="D33" t="s">
        <v>533</v>
      </c>
      <c r="G33" s="2"/>
    </row>
    <row r="34" spans="1:7" x14ac:dyDescent="0.25">
      <c r="A34" s="3" t="s">
        <v>31</v>
      </c>
      <c r="G34" s="2"/>
    </row>
    <row r="35" spans="1:7" x14ac:dyDescent="0.25">
      <c r="A35" s="3" t="s">
        <v>32</v>
      </c>
      <c r="G35" s="2"/>
    </row>
    <row r="36" spans="1:7" x14ac:dyDescent="0.25">
      <c r="A36" s="3" t="s">
        <v>33</v>
      </c>
      <c r="G36" s="2"/>
    </row>
    <row r="37" spans="1:7" x14ac:dyDescent="0.25">
      <c r="A37" s="3" t="s">
        <v>34</v>
      </c>
      <c r="G37" s="2"/>
    </row>
    <row r="38" spans="1:7" x14ac:dyDescent="0.25">
      <c r="A38" s="3" t="s">
        <v>35</v>
      </c>
      <c r="G38" s="2"/>
    </row>
    <row r="39" spans="1:7" x14ac:dyDescent="0.25">
      <c r="A39" s="3" t="s">
        <v>36</v>
      </c>
      <c r="G39" s="2"/>
    </row>
    <row r="40" spans="1:7" x14ac:dyDescent="0.25">
      <c r="A40" s="3" t="s">
        <v>37</v>
      </c>
      <c r="G40" s="2"/>
    </row>
    <row r="41" spans="1:7" x14ac:dyDescent="0.25">
      <c r="A41" s="3" t="s">
        <v>38</v>
      </c>
      <c r="G41" s="2"/>
    </row>
    <row r="42" spans="1:7" x14ac:dyDescent="0.25">
      <c r="A42" s="3" t="s">
        <v>39</v>
      </c>
      <c r="G42" s="2"/>
    </row>
    <row r="43" spans="1:7" x14ac:dyDescent="0.25">
      <c r="A43" s="3" t="s">
        <v>63</v>
      </c>
      <c r="G43" s="2"/>
    </row>
    <row r="44" spans="1:7" x14ac:dyDescent="0.25">
      <c r="A44" s="3" t="s">
        <v>64</v>
      </c>
      <c r="G44" s="2"/>
    </row>
    <row r="45" spans="1:7" x14ac:dyDescent="0.25">
      <c r="A45" s="3" t="s">
        <v>65</v>
      </c>
      <c r="G45" s="2"/>
    </row>
    <row r="46" spans="1:7" x14ac:dyDescent="0.25">
      <c r="A46" s="3" t="s">
        <v>66</v>
      </c>
      <c r="G46" s="2"/>
    </row>
    <row r="47" spans="1:7" x14ac:dyDescent="0.25">
      <c r="A47" s="3" t="s">
        <v>67</v>
      </c>
      <c r="G47" s="2"/>
    </row>
    <row r="48" spans="1:7" x14ac:dyDescent="0.25">
      <c r="A48" s="3" t="s">
        <v>68</v>
      </c>
      <c r="G48" s="2"/>
    </row>
    <row r="49" spans="1:7" x14ac:dyDescent="0.25">
      <c r="A49" s="3" t="s">
        <v>69</v>
      </c>
      <c r="G49" s="2"/>
    </row>
    <row r="50" spans="1:7" x14ac:dyDescent="0.25">
      <c r="A50" s="3" t="s">
        <v>70</v>
      </c>
      <c r="B50" t="str">
        <f>""&amp;$B2</f>
        <v>Octet Buffer</v>
      </c>
      <c r="D50" t="s">
        <v>528</v>
      </c>
      <c r="E50" t="str">
        <f>""&amp;$E2</f>
        <v/>
      </c>
      <c r="G50" s="2" t="str">
        <f>IF(ISNUMBER(G2),G2/2,"")</f>
        <v/>
      </c>
    </row>
    <row r="51" spans="1:7" x14ac:dyDescent="0.25">
      <c r="A51" s="3" t="s">
        <v>71</v>
      </c>
      <c r="B51" t="str">
        <f t="shared" ref="B51:B114" si="0">""&amp;$B3</f>
        <v>hsCD3d/e_Acro_CDD-H52W1</v>
      </c>
      <c r="D51" t="s">
        <v>529</v>
      </c>
      <c r="E51" t="str">
        <f t="shared" ref="E51:E114" si="1">""&amp;$E3</f>
        <v/>
      </c>
      <c r="G51" s="2">
        <f t="shared" ref="G51:G114" si="2">IF(ISNUMBER(G3),G3/2,"")</f>
        <v>9.9999999999999995E-8</v>
      </c>
    </row>
    <row r="52" spans="1:7" x14ac:dyDescent="0.25">
      <c r="A52" s="3" t="s">
        <v>72</v>
      </c>
      <c r="B52" t="str">
        <f t="shared" si="0"/>
        <v>Octet Buffer</v>
      </c>
      <c r="D52" t="s">
        <v>528</v>
      </c>
      <c r="E52" t="str">
        <f t="shared" si="1"/>
        <v/>
      </c>
      <c r="G52" s="2" t="str">
        <f t="shared" si="2"/>
        <v/>
      </c>
    </row>
    <row r="53" spans="1:7" x14ac:dyDescent="0.25">
      <c r="A53" s="3" t="s">
        <v>73</v>
      </c>
      <c r="B53" t="str">
        <f t="shared" si="0"/>
        <v>hsCD3d/e_Acro_CDD-H52W1</v>
      </c>
      <c r="D53" t="s">
        <v>529</v>
      </c>
      <c r="E53" t="str">
        <f t="shared" si="1"/>
        <v/>
      </c>
      <c r="G53" s="2">
        <f t="shared" si="2"/>
        <v>9.9999999999999995E-8</v>
      </c>
    </row>
    <row r="54" spans="1:7" x14ac:dyDescent="0.25">
      <c r="A54" s="3" t="s">
        <v>74</v>
      </c>
      <c r="B54" t="str">
        <f t="shared" si="0"/>
        <v>SI-157C11_P5158</v>
      </c>
      <c r="D54" t="s">
        <v>530</v>
      </c>
      <c r="E54" t="str">
        <f t="shared" si="1"/>
        <v>5</v>
      </c>
      <c r="G54" s="2" t="str">
        <f t="shared" si="2"/>
        <v/>
      </c>
    </row>
    <row r="55" spans="1:7" x14ac:dyDescent="0.25">
      <c r="A55" s="3" t="s">
        <v>75</v>
      </c>
      <c r="B55" t="str">
        <f t="shared" si="0"/>
        <v>SI-157C12_P5159</v>
      </c>
      <c r="D55" t="s">
        <v>530</v>
      </c>
      <c r="E55" t="str">
        <f t="shared" si="1"/>
        <v>5</v>
      </c>
      <c r="G55" s="2" t="str">
        <f t="shared" si="2"/>
        <v/>
      </c>
    </row>
    <row r="56" spans="1:7" x14ac:dyDescent="0.25">
      <c r="A56" s="3" t="s">
        <v>76</v>
      </c>
      <c r="B56" t="str">
        <f t="shared" si="0"/>
        <v>SI-157C13_P5198</v>
      </c>
      <c r="D56" t="s">
        <v>530</v>
      </c>
      <c r="E56" t="str">
        <f t="shared" si="1"/>
        <v>5</v>
      </c>
      <c r="G56" s="2" t="str">
        <f t="shared" si="2"/>
        <v/>
      </c>
    </row>
    <row r="57" spans="1:7" x14ac:dyDescent="0.25">
      <c r="A57" s="3" t="s">
        <v>77</v>
      </c>
      <c r="B57" t="str">
        <f t="shared" si="0"/>
        <v>SI-157C14_P5199</v>
      </c>
      <c r="D57" t="s">
        <v>530</v>
      </c>
      <c r="E57" t="str">
        <f t="shared" si="1"/>
        <v>5</v>
      </c>
      <c r="G57" s="2" t="str">
        <f t="shared" si="2"/>
        <v/>
      </c>
    </row>
    <row r="58" spans="1:7" x14ac:dyDescent="0.25">
      <c r="A58" s="3" t="s">
        <v>78</v>
      </c>
      <c r="B58" t="str">
        <f t="shared" si="0"/>
        <v>SI-157C15_P5235</v>
      </c>
      <c r="D58" t="s">
        <v>530</v>
      </c>
      <c r="E58" t="str">
        <f t="shared" si="1"/>
        <v>5</v>
      </c>
      <c r="G58" s="2" t="str">
        <f t="shared" si="2"/>
        <v/>
      </c>
    </row>
    <row r="59" spans="1:7" x14ac:dyDescent="0.25">
      <c r="A59" s="3" t="s">
        <v>79</v>
      </c>
      <c r="B59" t="str">
        <f t="shared" si="0"/>
        <v>SI-157C16_P5236</v>
      </c>
      <c r="D59" t="s">
        <v>530</v>
      </c>
      <c r="E59" t="str">
        <f t="shared" si="1"/>
        <v>5</v>
      </c>
      <c r="G59" s="2" t="str">
        <f t="shared" si="2"/>
        <v/>
      </c>
    </row>
    <row r="60" spans="1:7" x14ac:dyDescent="0.25">
      <c r="A60" s="3" t="s">
        <v>80</v>
      </c>
      <c r="B60" t="str">
        <f t="shared" si="0"/>
        <v>SI-157C17_P5237</v>
      </c>
      <c r="D60" t="s">
        <v>530</v>
      </c>
      <c r="E60" t="str">
        <f t="shared" si="1"/>
        <v>5</v>
      </c>
      <c r="G60" s="2" t="str">
        <f t="shared" si="2"/>
        <v/>
      </c>
    </row>
    <row r="61" spans="1:7" x14ac:dyDescent="0.25">
      <c r="A61" s="3" t="s">
        <v>81</v>
      </c>
      <c r="B61" t="str">
        <f t="shared" si="0"/>
        <v>SI-157C18_P5317</v>
      </c>
      <c r="D61" t="s">
        <v>530</v>
      </c>
      <c r="E61" t="str">
        <f t="shared" si="1"/>
        <v>5</v>
      </c>
      <c r="G61" s="2" t="str">
        <f t="shared" si="2"/>
        <v/>
      </c>
    </row>
    <row r="62" spans="1:7" x14ac:dyDescent="0.25">
      <c r="A62" s="3" t="s">
        <v>82</v>
      </c>
      <c r="B62" t="str">
        <f t="shared" si="0"/>
        <v>SI-83X1_P5364</v>
      </c>
      <c r="D62" t="s">
        <v>530</v>
      </c>
      <c r="E62" t="str">
        <f t="shared" si="1"/>
        <v>5</v>
      </c>
      <c r="G62" s="2" t="str">
        <f t="shared" si="2"/>
        <v/>
      </c>
    </row>
    <row r="63" spans="1:7" x14ac:dyDescent="0.25">
      <c r="A63" s="3" t="s">
        <v>83</v>
      </c>
      <c r="B63" t="str">
        <f t="shared" si="0"/>
        <v>SI-157C19_P5365</v>
      </c>
      <c r="D63" t="s">
        <v>530</v>
      </c>
      <c r="E63" t="str">
        <f t="shared" si="1"/>
        <v>5</v>
      </c>
      <c r="G63" s="2" t="str">
        <f t="shared" si="2"/>
        <v/>
      </c>
    </row>
    <row r="64" spans="1:7" x14ac:dyDescent="0.25">
      <c r="A64" s="3" t="s">
        <v>84</v>
      </c>
      <c r="B64" t="str">
        <f t="shared" si="0"/>
        <v>SI-157X47_P5533</v>
      </c>
      <c r="D64" t="s">
        <v>530</v>
      </c>
      <c r="E64" t="str">
        <f t="shared" si="1"/>
        <v>5</v>
      </c>
      <c r="G64" s="2" t="str">
        <f t="shared" si="2"/>
        <v/>
      </c>
    </row>
    <row r="65" spans="1:7" x14ac:dyDescent="0.25">
      <c r="A65" s="3" t="s">
        <v>85</v>
      </c>
      <c r="B65" t="str">
        <f t="shared" si="0"/>
        <v>SI-157X56_P5534</v>
      </c>
      <c r="D65" t="s">
        <v>530</v>
      </c>
      <c r="E65" t="str">
        <f t="shared" si="1"/>
        <v>5</v>
      </c>
      <c r="G65" s="2" t="str">
        <f t="shared" si="2"/>
        <v/>
      </c>
    </row>
    <row r="66" spans="1:7" x14ac:dyDescent="0.25">
      <c r="A66" s="3" t="s">
        <v>86</v>
      </c>
      <c r="B66" t="str">
        <f t="shared" si="0"/>
        <v>SI-157X61_P5535</v>
      </c>
      <c r="D66" t="s">
        <v>530</v>
      </c>
      <c r="E66" t="str">
        <f t="shared" si="1"/>
        <v>5</v>
      </c>
      <c r="G66" s="2" t="str">
        <f t="shared" si="2"/>
        <v/>
      </c>
    </row>
    <row r="67" spans="1:7" x14ac:dyDescent="0.25">
      <c r="A67" s="3" t="s">
        <v>87</v>
      </c>
      <c r="B67" t="str">
        <f t="shared" si="0"/>
        <v>SI-157X62_P5536</v>
      </c>
      <c r="D67" t="s">
        <v>530</v>
      </c>
      <c r="E67" t="str">
        <f t="shared" si="1"/>
        <v>5</v>
      </c>
      <c r="G67" s="2" t="str">
        <f t="shared" si="2"/>
        <v/>
      </c>
    </row>
    <row r="68" spans="1:7" x14ac:dyDescent="0.25">
      <c r="A68" s="3" t="s">
        <v>88</v>
      </c>
      <c r="B68" t="str">
        <f t="shared" si="0"/>
        <v>SI-157X63_P5537</v>
      </c>
      <c r="D68" t="s">
        <v>530</v>
      </c>
      <c r="E68" t="str">
        <f t="shared" si="1"/>
        <v>5</v>
      </c>
      <c r="G68" s="2" t="str">
        <f t="shared" si="2"/>
        <v/>
      </c>
    </row>
    <row r="69" spans="1:7" x14ac:dyDescent="0.25">
      <c r="A69" s="3" t="s">
        <v>89</v>
      </c>
      <c r="B69" t="str">
        <f t="shared" si="0"/>
        <v>SI-157X64_P5538</v>
      </c>
      <c r="D69" t="s">
        <v>530</v>
      </c>
      <c r="E69" t="str">
        <f t="shared" si="1"/>
        <v>5</v>
      </c>
      <c r="G69" s="2" t="str">
        <f t="shared" si="2"/>
        <v/>
      </c>
    </row>
    <row r="70" spans="1:7" x14ac:dyDescent="0.25">
      <c r="A70" s="3" t="s">
        <v>90</v>
      </c>
      <c r="B70" t="str">
        <f t="shared" si="0"/>
        <v>SI-157X49_P5563</v>
      </c>
      <c r="D70" t="s">
        <v>530</v>
      </c>
      <c r="E70" t="str">
        <f t="shared" si="1"/>
        <v>5</v>
      </c>
      <c r="G70" s="2" t="str">
        <f t="shared" si="2"/>
        <v/>
      </c>
    </row>
    <row r="71" spans="1:7" x14ac:dyDescent="0.25">
      <c r="A71" s="3" t="s">
        <v>91</v>
      </c>
      <c r="B71" t="str">
        <f t="shared" si="0"/>
        <v>SI-157X50_P5564</v>
      </c>
      <c r="D71" t="s">
        <v>530</v>
      </c>
      <c r="E71" t="str">
        <f t="shared" si="1"/>
        <v>5</v>
      </c>
      <c r="G71" s="2" t="str">
        <f t="shared" si="2"/>
        <v/>
      </c>
    </row>
    <row r="72" spans="1:7" x14ac:dyDescent="0.25">
      <c r="A72" s="3" t="s">
        <v>92</v>
      </c>
      <c r="B72" t="str">
        <f t="shared" si="0"/>
        <v>SI-157X53_P5565</v>
      </c>
      <c r="D72" t="s">
        <v>530</v>
      </c>
      <c r="E72" t="str">
        <f t="shared" si="1"/>
        <v>5</v>
      </c>
      <c r="G72" s="2" t="str">
        <f t="shared" si="2"/>
        <v/>
      </c>
    </row>
    <row r="73" spans="1:7" x14ac:dyDescent="0.25">
      <c r="A73" s="3" t="s">
        <v>93</v>
      </c>
      <c r="B73" t="str">
        <f t="shared" si="0"/>
        <v>SI-157X57_P5566</v>
      </c>
      <c r="D73" t="s">
        <v>530</v>
      </c>
      <c r="E73" t="str">
        <f t="shared" si="1"/>
        <v>5</v>
      </c>
      <c r="G73" s="2" t="str">
        <f t="shared" si="2"/>
        <v/>
      </c>
    </row>
    <row r="74" spans="1:7" x14ac:dyDescent="0.25">
      <c r="A74" s="3" t="s">
        <v>94</v>
      </c>
      <c r="B74" t="str">
        <f>""&amp;$B26</f>
        <v>SI-157X65_P5567</v>
      </c>
      <c r="D74" t="s">
        <v>530</v>
      </c>
      <c r="E74" t="str">
        <f t="shared" si="1"/>
        <v>5</v>
      </c>
      <c r="G74" s="2" t="str">
        <f t="shared" si="2"/>
        <v/>
      </c>
    </row>
    <row r="75" spans="1:7" x14ac:dyDescent="0.25">
      <c r="A75" s="3" t="s">
        <v>95</v>
      </c>
      <c r="B75" t="str">
        <f t="shared" si="0"/>
        <v>SI-157X66_P5568</v>
      </c>
      <c r="D75" t="s">
        <v>530</v>
      </c>
      <c r="E75" t="str">
        <f t="shared" si="1"/>
        <v>5</v>
      </c>
      <c r="G75" s="2" t="str">
        <f t="shared" si="2"/>
        <v/>
      </c>
    </row>
    <row r="76" spans="1:7" x14ac:dyDescent="0.25">
      <c r="A76" s="3" t="s">
        <v>96</v>
      </c>
      <c r="B76" t="str">
        <f t="shared" si="0"/>
        <v>SI-157X67_P5569</v>
      </c>
      <c r="D76" t="s">
        <v>530</v>
      </c>
      <c r="E76" t="str">
        <f t="shared" si="1"/>
        <v>5</v>
      </c>
      <c r="G76" s="2" t="str">
        <f t="shared" si="2"/>
        <v/>
      </c>
    </row>
    <row r="77" spans="1:7" x14ac:dyDescent="0.25">
      <c r="A77" s="3" t="s">
        <v>97</v>
      </c>
      <c r="B77" t="str">
        <f t="shared" si="0"/>
        <v>SI-157X68_P5570</v>
      </c>
      <c r="D77" t="s">
        <v>530</v>
      </c>
      <c r="E77" t="str">
        <f t="shared" si="1"/>
        <v>5</v>
      </c>
      <c r="G77" s="2" t="str">
        <f t="shared" si="2"/>
        <v/>
      </c>
    </row>
    <row r="78" spans="1:7" x14ac:dyDescent="0.25">
      <c r="A78" s="3" t="s">
        <v>98</v>
      </c>
      <c r="B78" t="str">
        <f t="shared" si="0"/>
        <v>Glycine</v>
      </c>
      <c r="D78" t="s">
        <v>0</v>
      </c>
      <c r="E78" t="str">
        <f t="shared" si="1"/>
        <v/>
      </c>
      <c r="G78" s="2" t="str">
        <f t="shared" si="2"/>
        <v/>
      </c>
    </row>
    <row r="79" spans="1:7" x14ac:dyDescent="0.25">
      <c r="A79" s="3" t="s">
        <v>99</v>
      </c>
      <c r="B79" t="str">
        <f t="shared" si="0"/>
        <v>PBS</v>
      </c>
      <c r="D79" t="s">
        <v>533</v>
      </c>
      <c r="E79" t="str">
        <f t="shared" si="1"/>
        <v/>
      </c>
      <c r="G79" s="2" t="str">
        <f t="shared" si="2"/>
        <v/>
      </c>
    </row>
    <row r="80" spans="1:7" x14ac:dyDescent="0.25">
      <c r="A80" s="3" t="s">
        <v>100</v>
      </c>
      <c r="B80" t="str">
        <f t="shared" si="0"/>
        <v>Glycine</v>
      </c>
      <c r="D80" t="s">
        <v>0</v>
      </c>
      <c r="E80" t="str">
        <f t="shared" si="1"/>
        <v/>
      </c>
      <c r="G80" s="2" t="str">
        <f t="shared" si="2"/>
        <v/>
      </c>
    </row>
    <row r="81" spans="1:7" x14ac:dyDescent="0.25">
      <c r="A81" s="3" t="s">
        <v>101</v>
      </c>
      <c r="B81" t="str">
        <f t="shared" si="0"/>
        <v>PBS</v>
      </c>
      <c r="D81" t="s">
        <v>533</v>
      </c>
      <c r="E81" t="str">
        <f t="shared" si="1"/>
        <v/>
      </c>
      <c r="G81" s="2" t="str">
        <f t="shared" si="2"/>
        <v/>
      </c>
    </row>
    <row r="82" spans="1:7" x14ac:dyDescent="0.25">
      <c r="A82" s="3" t="s">
        <v>102</v>
      </c>
      <c r="B82" t="str">
        <f t="shared" si="0"/>
        <v/>
      </c>
      <c r="E82" t="str">
        <f t="shared" si="1"/>
        <v/>
      </c>
      <c r="G82" s="2" t="str">
        <f t="shared" si="2"/>
        <v/>
      </c>
    </row>
    <row r="83" spans="1:7" x14ac:dyDescent="0.25">
      <c r="A83" s="3" t="s">
        <v>103</v>
      </c>
      <c r="B83" t="str">
        <f t="shared" si="0"/>
        <v/>
      </c>
      <c r="E83" t="str">
        <f t="shared" si="1"/>
        <v/>
      </c>
      <c r="G83" s="2" t="str">
        <f t="shared" si="2"/>
        <v/>
      </c>
    </row>
    <row r="84" spans="1:7" x14ac:dyDescent="0.25">
      <c r="A84" s="3" t="s">
        <v>104</v>
      </c>
      <c r="B84" t="str">
        <f t="shared" si="0"/>
        <v/>
      </c>
      <c r="E84" t="str">
        <f t="shared" si="1"/>
        <v/>
      </c>
      <c r="G84" s="2" t="str">
        <f t="shared" si="2"/>
        <v/>
      </c>
    </row>
    <row r="85" spans="1:7" x14ac:dyDescent="0.25">
      <c r="A85" s="3" t="s">
        <v>105</v>
      </c>
      <c r="B85" t="str">
        <f t="shared" si="0"/>
        <v/>
      </c>
      <c r="E85" t="str">
        <f t="shared" si="1"/>
        <v/>
      </c>
      <c r="G85" s="2" t="str">
        <f t="shared" si="2"/>
        <v/>
      </c>
    </row>
    <row r="86" spans="1:7" x14ac:dyDescent="0.25">
      <c r="A86" s="3" t="s">
        <v>106</v>
      </c>
      <c r="B86" t="str">
        <f t="shared" si="0"/>
        <v/>
      </c>
      <c r="E86" t="str">
        <f t="shared" si="1"/>
        <v/>
      </c>
      <c r="G86" s="2" t="str">
        <f t="shared" si="2"/>
        <v/>
      </c>
    </row>
    <row r="87" spans="1:7" x14ac:dyDescent="0.25">
      <c r="A87" s="3" t="s">
        <v>107</v>
      </c>
      <c r="B87" t="str">
        <f t="shared" si="0"/>
        <v/>
      </c>
      <c r="E87" t="str">
        <f t="shared" si="1"/>
        <v/>
      </c>
      <c r="G87" s="2" t="str">
        <f t="shared" si="2"/>
        <v/>
      </c>
    </row>
    <row r="88" spans="1:7" x14ac:dyDescent="0.25">
      <c r="A88" s="3" t="s">
        <v>108</v>
      </c>
      <c r="B88" t="str">
        <f t="shared" si="0"/>
        <v/>
      </c>
      <c r="E88" t="str">
        <f t="shared" si="1"/>
        <v/>
      </c>
      <c r="G88" s="2" t="str">
        <f t="shared" si="2"/>
        <v/>
      </c>
    </row>
    <row r="89" spans="1:7" x14ac:dyDescent="0.25">
      <c r="A89" s="3" t="s">
        <v>109</v>
      </c>
      <c r="B89" t="str">
        <f t="shared" si="0"/>
        <v/>
      </c>
      <c r="E89" t="str">
        <f t="shared" si="1"/>
        <v/>
      </c>
      <c r="G89" s="2" t="str">
        <f t="shared" si="2"/>
        <v/>
      </c>
    </row>
    <row r="90" spans="1:7" x14ac:dyDescent="0.25">
      <c r="A90" s="3" t="s">
        <v>110</v>
      </c>
      <c r="B90" t="str">
        <f t="shared" si="0"/>
        <v/>
      </c>
      <c r="E90" t="str">
        <f t="shared" si="1"/>
        <v/>
      </c>
      <c r="G90" s="2" t="str">
        <f t="shared" si="2"/>
        <v/>
      </c>
    </row>
    <row r="91" spans="1:7" x14ac:dyDescent="0.25">
      <c r="A91" s="3" t="s">
        <v>111</v>
      </c>
      <c r="B91" t="str">
        <f t="shared" si="0"/>
        <v/>
      </c>
      <c r="E91" t="str">
        <f t="shared" si="1"/>
        <v/>
      </c>
      <c r="G91" s="2" t="str">
        <f t="shared" si="2"/>
        <v/>
      </c>
    </row>
    <row r="92" spans="1:7" x14ac:dyDescent="0.25">
      <c r="A92" s="3" t="s">
        <v>112</v>
      </c>
      <c r="B92" t="str">
        <f t="shared" si="0"/>
        <v/>
      </c>
      <c r="E92" t="str">
        <f t="shared" si="1"/>
        <v/>
      </c>
      <c r="G92" s="2" t="str">
        <f t="shared" si="2"/>
        <v/>
      </c>
    </row>
    <row r="93" spans="1:7" x14ac:dyDescent="0.25">
      <c r="A93" s="3" t="s">
        <v>113</v>
      </c>
      <c r="B93" t="str">
        <f t="shared" si="0"/>
        <v/>
      </c>
      <c r="E93" t="str">
        <f t="shared" si="1"/>
        <v/>
      </c>
      <c r="G93" s="2" t="str">
        <f t="shared" si="2"/>
        <v/>
      </c>
    </row>
    <row r="94" spans="1:7" x14ac:dyDescent="0.25">
      <c r="A94" s="3" t="s">
        <v>114</v>
      </c>
      <c r="B94" t="str">
        <f t="shared" si="0"/>
        <v/>
      </c>
      <c r="E94" t="str">
        <f t="shared" si="1"/>
        <v/>
      </c>
      <c r="G94" s="2" t="str">
        <f t="shared" si="2"/>
        <v/>
      </c>
    </row>
    <row r="95" spans="1:7" x14ac:dyDescent="0.25">
      <c r="A95" s="3" t="s">
        <v>115</v>
      </c>
      <c r="B95" t="str">
        <f t="shared" si="0"/>
        <v/>
      </c>
      <c r="E95" t="str">
        <f t="shared" si="1"/>
        <v/>
      </c>
      <c r="G95" s="2" t="str">
        <f t="shared" si="2"/>
        <v/>
      </c>
    </row>
    <row r="96" spans="1:7" x14ac:dyDescent="0.25">
      <c r="A96" s="3" t="s">
        <v>116</v>
      </c>
      <c r="B96" t="str">
        <f t="shared" si="0"/>
        <v/>
      </c>
      <c r="E96" t="str">
        <f t="shared" si="1"/>
        <v/>
      </c>
      <c r="G96" s="2" t="str">
        <f t="shared" si="2"/>
        <v/>
      </c>
    </row>
    <row r="97" spans="1:7" x14ac:dyDescent="0.25">
      <c r="A97" s="3" t="s">
        <v>117</v>
      </c>
      <c r="B97" t="str">
        <f t="shared" si="0"/>
        <v/>
      </c>
      <c r="E97" t="str">
        <f t="shared" si="1"/>
        <v/>
      </c>
      <c r="G97" s="2" t="str">
        <f t="shared" si="2"/>
        <v/>
      </c>
    </row>
    <row r="98" spans="1:7" x14ac:dyDescent="0.25">
      <c r="A98" s="3" t="s">
        <v>118</v>
      </c>
      <c r="B98" t="str">
        <f t="shared" si="0"/>
        <v>Octet Buffer</v>
      </c>
      <c r="D98" t="s">
        <v>528</v>
      </c>
      <c r="E98" t="str">
        <f t="shared" si="1"/>
        <v/>
      </c>
      <c r="G98" s="2" t="str">
        <f t="shared" si="2"/>
        <v/>
      </c>
    </row>
    <row r="99" spans="1:7" x14ac:dyDescent="0.25">
      <c r="A99" s="3" t="s">
        <v>119</v>
      </c>
      <c r="B99" t="str">
        <f t="shared" si="0"/>
        <v>hsCD3d/e_Acro_CDD-H52W1</v>
      </c>
      <c r="D99" t="s">
        <v>529</v>
      </c>
      <c r="E99" t="str">
        <f t="shared" si="1"/>
        <v/>
      </c>
      <c r="G99" s="2">
        <f t="shared" si="2"/>
        <v>4.9999999999999998E-8</v>
      </c>
    </row>
    <row r="100" spans="1:7" x14ac:dyDescent="0.25">
      <c r="A100" s="3" t="s">
        <v>120</v>
      </c>
      <c r="B100" t="str">
        <f t="shared" si="0"/>
        <v>Octet Buffer</v>
      </c>
      <c r="D100" t="s">
        <v>528</v>
      </c>
      <c r="E100" t="str">
        <f t="shared" si="1"/>
        <v/>
      </c>
      <c r="G100" s="2" t="str">
        <f t="shared" si="2"/>
        <v/>
      </c>
    </row>
    <row r="101" spans="1:7" x14ac:dyDescent="0.25">
      <c r="A101" s="3" t="s">
        <v>121</v>
      </c>
      <c r="B101" t="str">
        <f t="shared" si="0"/>
        <v>hsCD3d/e_Acro_CDD-H52W1</v>
      </c>
      <c r="D101" t="s">
        <v>529</v>
      </c>
      <c r="E101" t="str">
        <f t="shared" si="1"/>
        <v/>
      </c>
      <c r="G101" s="2">
        <f t="shared" si="2"/>
        <v>4.9999999999999998E-8</v>
      </c>
    </row>
    <row r="102" spans="1:7" x14ac:dyDescent="0.25">
      <c r="A102" s="3" t="s">
        <v>122</v>
      </c>
      <c r="B102" t="str">
        <f t="shared" si="0"/>
        <v>SI-157C11_P5158</v>
      </c>
      <c r="D102" t="s">
        <v>530</v>
      </c>
      <c r="E102" t="str">
        <f t="shared" si="1"/>
        <v>5</v>
      </c>
      <c r="G102" s="2" t="str">
        <f t="shared" si="2"/>
        <v/>
      </c>
    </row>
    <row r="103" spans="1:7" x14ac:dyDescent="0.25">
      <c r="A103" s="3" t="s">
        <v>123</v>
      </c>
      <c r="B103" t="str">
        <f t="shared" si="0"/>
        <v>SI-157C12_P5159</v>
      </c>
      <c r="D103" t="s">
        <v>530</v>
      </c>
      <c r="E103" t="str">
        <f t="shared" si="1"/>
        <v>5</v>
      </c>
      <c r="G103" s="2" t="str">
        <f t="shared" si="2"/>
        <v/>
      </c>
    </row>
    <row r="104" spans="1:7" x14ac:dyDescent="0.25">
      <c r="A104" s="3" t="s">
        <v>124</v>
      </c>
      <c r="B104" t="str">
        <f t="shared" si="0"/>
        <v>SI-157C13_P5198</v>
      </c>
      <c r="D104" t="s">
        <v>530</v>
      </c>
      <c r="E104" t="str">
        <f t="shared" si="1"/>
        <v>5</v>
      </c>
      <c r="G104" s="2" t="str">
        <f t="shared" si="2"/>
        <v/>
      </c>
    </row>
    <row r="105" spans="1:7" x14ac:dyDescent="0.25">
      <c r="A105" s="3" t="s">
        <v>125</v>
      </c>
      <c r="B105" t="str">
        <f t="shared" si="0"/>
        <v>SI-157C14_P5199</v>
      </c>
      <c r="D105" t="s">
        <v>530</v>
      </c>
      <c r="E105" t="str">
        <f t="shared" si="1"/>
        <v>5</v>
      </c>
      <c r="G105" s="2" t="str">
        <f t="shared" si="2"/>
        <v/>
      </c>
    </row>
    <row r="106" spans="1:7" x14ac:dyDescent="0.25">
      <c r="A106" s="3" t="s">
        <v>126</v>
      </c>
      <c r="B106" t="str">
        <f t="shared" si="0"/>
        <v>SI-157C15_P5235</v>
      </c>
      <c r="D106" t="s">
        <v>530</v>
      </c>
      <c r="E106" t="str">
        <f t="shared" si="1"/>
        <v>5</v>
      </c>
      <c r="G106" s="2" t="str">
        <f t="shared" si="2"/>
        <v/>
      </c>
    </row>
    <row r="107" spans="1:7" x14ac:dyDescent="0.25">
      <c r="A107" s="3" t="s">
        <v>127</v>
      </c>
      <c r="B107" t="str">
        <f t="shared" si="0"/>
        <v>SI-157C16_P5236</v>
      </c>
      <c r="D107" t="s">
        <v>530</v>
      </c>
      <c r="E107" t="str">
        <f t="shared" si="1"/>
        <v>5</v>
      </c>
      <c r="G107" s="2" t="str">
        <f t="shared" si="2"/>
        <v/>
      </c>
    </row>
    <row r="108" spans="1:7" x14ac:dyDescent="0.25">
      <c r="A108" s="3" t="s">
        <v>128</v>
      </c>
      <c r="B108" t="str">
        <f t="shared" si="0"/>
        <v>SI-157C17_P5237</v>
      </c>
      <c r="D108" t="s">
        <v>530</v>
      </c>
      <c r="E108" t="str">
        <f t="shared" si="1"/>
        <v>5</v>
      </c>
      <c r="G108" s="2" t="str">
        <f t="shared" si="2"/>
        <v/>
      </c>
    </row>
    <row r="109" spans="1:7" x14ac:dyDescent="0.25">
      <c r="A109" s="3" t="s">
        <v>129</v>
      </c>
      <c r="B109" t="str">
        <f t="shared" si="0"/>
        <v>SI-157C18_P5317</v>
      </c>
      <c r="D109" t="s">
        <v>530</v>
      </c>
      <c r="E109" t="str">
        <f t="shared" si="1"/>
        <v>5</v>
      </c>
      <c r="G109" s="2" t="str">
        <f t="shared" si="2"/>
        <v/>
      </c>
    </row>
    <row r="110" spans="1:7" x14ac:dyDescent="0.25">
      <c r="A110" s="3" t="s">
        <v>130</v>
      </c>
      <c r="B110" t="str">
        <f t="shared" si="0"/>
        <v>SI-83X1_P5364</v>
      </c>
      <c r="D110" t="s">
        <v>530</v>
      </c>
      <c r="E110" t="str">
        <f t="shared" si="1"/>
        <v>5</v>
      </c>
      <c r="G110" s="2" t="str">
        <f t="shared" si="2"/>
        <v/>
      </c>
    </row>
    <row r="111" spans="1:7" x14ac:dyDescent="0.25">
      <c r="A111" s="3" t="s">
        <v>131</v>
      </c>
      <c r="B111" t="str">
        <f t="shared" si="0"/>
        <v>SI-157C19_P5365</v>
      </c>
      <c r="D111" t="s">
        <v>530</v>
      </c>
      <c r="E111" t="str">
        <f t="shared" si="1"/>
        <v>5</v>
      </c>
      <c r="G111" s="2" t="str">
        <f t="shared" si="2"/>
        <v/>
      </c>
    </row>
    <row r="112" spans="1:7" x14ac:dyDescent="0.25">
      <c r="A112" s="3" t="s">
        <v>132</v>
      </c>
      <c r="B112" t="str">
        <f t="shared" si="0"/>
        <v>SI-157X47_P5533</v>
      </c>
      <c r="D112" t="s">
        <v>530</v>
      </c>
      <c r="E112" t="str">
        <f t="shared" si="1"/>
        <v>5</v>
      </c>
      <c r="G112" s="2" t="str">
        <f t="shared" si="2"/>
        <v/>
      </c>
    </row>
    <row r="113" spans="1:7" x14ac:dyDescent="0.25">
      <c r="A113" s="3" t="s">
        <v>133</v>
      </c>
      <c r="B113" t="str">
        <f t="shared" si="0"/>
        <v>SI-157X56_P5534</v>
      </c>
      <c r="D113" t="s">
        <v>530</v>
      </c>
      <c r="E113" t="str">
        <f t="shared" si="1"/>
        <v>5</v>
      </c>
      <c r="G113" s="2" t="str">
        <f t="shared" si="2"/>
        <v/>
      </c>
    </row>
    <row r="114" spans="1:7" x14ac:dyDescent="0.25">
      <c r="A114" s="3" t="s">
        <v>134</v>
      </c>
      <c r="B114" t="str">
        <f t="shared" si="0"/>
        <v>SI-157X61_P5535</v>
      </c>
      <c r="D114" t="s">
        <v>530</v>
      </c>
      <c r="E114" t="str">
        <f t="shared" si="1"/>
        <v>5</v>
      </c>
      <c r="G114" s="2" t="str">
        <f t="shared" si="2"/>
        <v/>
      </c>
    </row>
    <row r="115" spans="1:7" x14ac:dyDescent="0.25">
      <c r="A115" s="3" t="s">
        <v>135</v>
      </c>
      <c r="B115" t="str">
        <f t="shared" ref="B115:B178" si="3">""&amp;$B67</f>
        <v>SI-157X62_P5536</v>
      </c>
      <c r="D115" t="s">
        <v>530</v>
      </c>
      <c r="E115" t="str">
        <f t="shared" ref="E115:E178" si="4">""&amp;$E67</f>
        <v>5</v>
      </c>
      <c r="G115" s="2" t="str">
        <f t="shared" ref="G115:G178" si="5">IF(ISNUMBER(G67),G67/2,"")</f>
        <v/>
      </c>
    </row>
    <row r="116" spans="1:7" x14ac:dyDescent="0.25">
      <c r="A116" s="3" t="s">
        <v>136</v>
      </c>
      <c r="B116" t="str">
        <f t="shared" si="3"/>
        <v>SI-157X63_P5537</v>
      </c>
      <c r="D116" t="s">
        <v>530</v>
      </c>
      <c r="E116" t="str">
        <f t="shared" si="4"/>
        <v>5</v>
      </c>
      <c r="G116" s="2" t="str">
        <f t="shared" si="5"/>
        <v/>
      </c>
    </row>
    <row r="117" spans="1:7" x14ac:dyDescent="0.25">
      <c r="A117" s="3" t="s">
        <v>137</v>
      </c>
      <c r="B117" t="str">
        <f t="shared" si="3"/>
        <v>SI-157X64_P5538</v>
      </c>
      <c r="D117" t="s">
        <v>530</v>
      </c>
      <c r="E117" t="str">
        <f t="shared" si="4"/>
        <v>5</v>
      </c>
      <c r="G117" s="2" t="str">
        <f t="shared" si="5"/>
        <v/>
      </c>
    </row>
    <row r="118" spans="1:7" x14ac:dyDescent="0.25">
      <c r="A118" s="3" t="s">
        <v>138</v>
      </c>
      <c r="B118" t="str">
        <f t="shared" si="3"/>
        <v>SI-157X49_P5563</v>
      </c>
      <c r="D118" t="s">
        <v>530</v>
      </c>
      <c r="E118" t="str">
        <f t="shared" si="4"/>
        <v>5</v>
      </c>
      <c r="G118" s="2" t="str">
        <f t="shared" si="5"/>
        <v/>
      </c>
    </row>
    <row r="119" spans="1:7" x14ac:dyDescent="0.25">
      <c r="A119" s="3" t="s">
        <v>139</v>
      </c>
      <c r="B119" t="str">
        <f t="shared" si="3"/>
        <v>SI-157X50_P5564</v>
      </c>
      <c r="D119" t="s">
        <v>530</v>
      </c>
      <c r="E119" t="str">
        <f t="shared" si="4"/>
        <v>5</v>
      </c>
      <c r="G119" s="2" t="str">
        <f t="shared" si="5"/>
        <v/>
      </c>
    </row>
    <row r="120" spans="1:7" x14ac:dyDescent="0.25">
      <c r="A120" s="3" t="s">
        <v>140</v>
      </c>
      <c r="B120" t="str">
        <f t="shared" si="3"/>
        <v>SI-157X53_P5565</v>
      </c>
      <c r="D120" t="s">
        <v>530</v>
      </c>
      <c r="E120" t="str">
        <f t="shared" si="4"/>
        <v>5</v>
      </c>
      <c r="G120" s="2" t="str">
        <f t="shared" si="5"/>
        <v/>
      </c>
    </row>
    <row r="121" spans="1:7" x14ac:dyDescent="0.25">
      <c r="A121" s="3" t="s">
        <v>141</v>
      </c>
      <c r="B121" t="str">
        <f t="shared" si="3"/>
        <v>SI-157X57_P5566</v>
      </c>
      <c r="D121" t="s">
        <v>530</v>
      </c>
      <c r="E121" t="str">
        <f t="shared" si="4"/>
        <v>5</v>
      </c>
      <c r="G121" s="2" t="str">
        <f t="shared" si="5"/>
        <v/>
      </c>
    </row>
    <row r="122" spans="1:7" x14ac:dyDescent="0.25">
      <c r="A122" s="3" t="s">
        <v>142</v>
      </c>
      <c r="B122" t="str">
        <f t="shared" si="3"/>
        <v>SI-157X65_P5567</v>
      </c>
      <c r="D122" t="s">
        <v>530</v>
      </c>
      <c r="E122" t="str">
        <f t="shared" si="4"/>
        <v>5</v>
      </c>
      <c r="G122" s="2" t="str">
        <f t="shared" si="5"/>
        <v/>
      </c>
    </row>
    <row r="123" spans="1:7" x14ac:dyDescent="0.25">
      <c r="A123" s="3" t="s">
        <v>143</v>
      </c>
      <c r="B123" t="str">
        <f t="shared" si="3"/>
        <v>SI-157X66_P5568</v>
      </c>
      <c r="D123" t="s">
        <v>530</v>
      </c>
      <c r="E123" t="str">
        <f t="shared" si="4"/>
        <v>5</v>
      </c>
      <c r="G123" s="2" t="str">
        <f t="shared" si="5"/>
        <v/>
      </c>
    </row>
    <row r="124" spans="1:7" x14ac:dyDescent="0.25">
      <c r="A124" s="3" t="s">
        <v>144</v>
      </c>
      <c r="B124" t="str">
        <f t="shared" si="3"/>
        <v>SI-157X67_P5569</v>
      </c>
      <c r="D124" t="s">
        <v>530</v>
      </c>
      <c r="E124" t="str">
        <f t="shared" si="4"/>
        <v>5</v>
      </c>
      <c r="G124" s="2" t="str">
        <f t="shared" si="5"/>
        <v/>
      </c>
    </row>
    <row r="125" spans="1:7" x14ac:dyDescent="0.25">
      <c r="A125" s="3" t="s">
        <v>145</v>
      </c>
      <c r="B125" t="str">
        <f t="shared" si="3"/>
        <v>SI-157X68_P5570</v>
      </c>
      <c r="D125" t="s">
        <v>530</v>
      </c>
      <c r="E125" t="str">
        <f t="shared" si="4"/>
        <v>5</v>
      </c>
      <c r="G125" s="2" t="str">
        <f t="shared" si="5"/>
        <v/>
      </c>
    </row>
    <row r="126" spans="1:7" x14ac:dyDescent="0.25">
      <c r="A126" s="3" t="s">
        <v>146</v>
      </c>
      <c r="B126" t="str">
        <f t="shared" si="3"/>
        <v>Glycine</v>
      </c>
      <c r="D126" t="s">
        <v>0</v>
      </c>
      <c r="E126" t="str">
        <f t="shared" si="4"/>
        <v/>
      </c>
      <c r="G126" s="2" t="str">
        <f t="shared" si="5"/>
        <v/>
      </c>
    </row>
    <row r="127" spans="1:7" x14ac:dyDescent="0.25">
      <c r="A127" s="3" t="s">
        <v>147</v>
      </c>
      <c r="B127" t="str">
        <f t="shared" si="3"/>
        <v>PBS</v>
      </c>
      <c r="D127" t="s">
        <v>533</v>
      </c>
      <c r="E127" t="str">
        <f t="shared" si="4"/>
        <v/>
      </c>
      <c r="G127" s="2" t="str">
        <f t="shared" si="5"/>
        <v/>
      </c>
    </row>
    <row r="128" spans="1:7" x14ac:dyDescent="0.25">
      <c r="A128" s="3" t="s">
        <v>148</v>
      </c>
      <c r="B128" t="str">
        <f t="shared" si="3"/>
        <v>Glycine</v>
      </c>
      <c r="D128" t="s">
        <v>0</v>
      </c>
      <c r="E128" t="str">
        <f t="shared" si="4"/>
        <v/>
      </c>
      <c r="G128" s="2" t="str">
        <f t="shared" si="5"/>
        <v/>
      </c>
    </row>
    <row r="129" spans="1:7" x14ac:dyDescent="0.25">
      <c r="A129" s="3" t="s">
        <v>149</v>
      </c>
      <c r="B129" t="str">
        <f t="shared" si="3"/>
        <v>PBS</v>
      </c>
      <c r="D129" t="s">
        <v>533</v>
      </c>
      <c r="E129" t="str">
        <f t="shared" si="4"/>
        <v/>
      </c>
      <c r="G129" s="2" t="str">
        <f t="shared" si="5"/>
        <v/>
      </c>
    </row>
    <row r="130" spans="1:7" x14ac:dyDescent="0.25">
      <c r="A130" s="3" t="s">
        <v>150</v>
      </c>
      <c r="B130" t="str">
        <f t="shared" si="3"/>
        <v/>
      </c>
      <c r="E130" t="str">
        <f t="shared" si="4"/>
        <v/>
      </c>
      <c r="G130" s="2" t="str">
        <f t="shared" si="5"/>
        <v/>
      </c>
    </row>
    <row r="131" spans="1:7" x14ac:dyDescent="0.25">
      <c r="A131" s="3" t="s">
        <v>151</v>
      </c>
      <c r="B131" t="str">
        <f t="shared" si="3"/>
        <v/>
      </c>
      <c r="E131" t="str">
        <f t="shared" si="4"/>
        <v/>
      </c>
      <c r="G131" s="2" t="str">
        <f t="shared" si="5"/>
        <v/>
      </c>
    </row>
    <row r="132" spans="1:7" x14ac:dyDescent="0.25">
      <c r="A132" s="3" t="s">
        <v>152</v>
      </c>
      <c r="B132" t="str">
        <f t="shared" si="3"/>
        <v/>
      </c>
      <c r="E132" t="str">
        <f t="shared" si="4"/>
        <v/>
      </c>
      <c r="G132" s="2" t="str">
        <f t="shared" si="5"/>
        <v/>
      </c>
    </row>
    <row r="133" spans="1:7" x14ac:dyDescent="0.25">
      <c r="A133" s="3" t="s">
        <v>153</v>
      </c>
      <c r="B133" t="str">
        <f t="shared" si="3"/>
        <v/>
      </c>
      <c r="E133" t="str">
        <f t="shared" si="4"/>
        <v/>
      </c>
      <c r="G133" s="2" t="str">
        <f t="shared" si="5"/>
        <v/>
      </c>
    </row>
    <row r="134" spans="1:7" x14ac:dyDescent="0.25">
      <c r="A134" s="3" t="s">
        <v>154</v>
      </c>
      <c r="B134" t="str">
        <f t="shared" si="3"/>
        <v/>
      </c>
      <c r="E134" t="str">
        <f t="shared" si="4"/>
        <v/>
      </c>
      <c r="G134" s="2" t="str">
        <f t="shared" si="5"/>
        <v/>
      </c>
    </row>
    <row r="135" spans="1:7" x14ac:dyDescent="0.25">
      <c r="A135" s="3" t="s">
        <v>155</v>
      </c>
      <c r="B135" t="str">
        <f t="shared" si="3"/>
        <v/>
      </c>
      <c r="E135" t="str">
        <f t="shared" si="4"/>
        <v/>
      </c>
      <c r="G135" s="2" t="str">
        <f t="shared" si="5"/>
        <v/>
      </c>
    </row>
    <row r="136" spans="1:7" x14ac:dyDescent="0.25">
      <c r="A136" s="3" t="s">
        <v>156</v>
      </c>
      <c r="B136" t="str">
        <f t="shared" si="3"/>
        <v/>
      </c>
      <c r="E136" t="str">
        <f t="shared" si="4"/>
        <v/>
      </c>
      <c r="G136" s="2" t="str">
        <f t="shared" si="5"/>
        <v/>
      </c>
    </row>
    <row r="137" spans="1:7" x14ac:dyDescent="0.25">
      <c r="A137" s="3" t="s">
        <v>157</v>
      </c>
      <c r="B137" t="str">
        <f t="shared" si="3"/>
        <v/>
      </c>
      <c r="E137" t="str">
        <f t="shared" si="4"/>
        <v/>
      </c>
      <c r="G137" s="2" t="str">
        <f t="shared" si="5"/>
        <v/>
      </c>
    </row>
    <row r="138" spans="1:7" x14ac:dyDescent="0.25">
      <c r="A138" s="3" t="s">
        <v>158</v>
      </c>
      <c r="B138" t="str">
        <f t="shared" si="3"/>
        <v/>
      </c>
      <c r="E138" t="str">
        <f t="shared" si="4"/>
        <v/>
      </c>
      <c r="G138" s="2" t="str">
        <f t="shared" si="5"/>
        <v/>
      </c>
    </row>
    <row r="139" spans="1:7" x14ac:dyDescent="0.25">
      <c r="A139" s="3" t="s">
        <v>159</v>
      </c>
      <c r="B139" t="str">
        <f t="shared" si="3"/>
        <v/>
      </c>
      <c r="E139" t="str">
        <f t="shared" si="4"/>
        <v/>
      </c>
      <c r="G139" s="2" t="str">
        <f t="shared" si="5"/>
        <v/>
      </c>
    </row>
    <row r="140" spans="1:7" x14ac:dyDescent="0.25">
      <c r="A140" s="3" t="s">
        <v>160</v>
      </c>
      <c r="B140" t="str">
        <f t="shared" si="3"/>
        <v/>
      </c>
      <c r="E140" t="str">
        <f t="shared" si="4"/>
        <v/>
      </c>
      <c r="G140" s="2" t="str">
        <f t="shared" si="5"/>
        <v/>
      </c>
    </row>
    <row r="141" spans="1:7" x14ac:dyDescent="0.25">
      <c r="A141" s="3" t="s">
        <v>161</v>
      </c>
      <c r="B141" t="str">
        <f t="shared" si="3"/>
        <v/>
      </c>
      <c r="E141" t="str">
        <f t="shared" si="4"/>
        <v/>
      </c>
      <c r="G141" s="2" t="str">
        <f t="shared" si="5"/>
        <v/>
      </c>
    </row>
    <row r="142" spans="1:7" x14ac:dyDescent="0.25">
      <c r="A142" s="3" t="s">
        <v>162</v>
      </c>
      <c r="B142" t="str">
        <f t="shared" si="3"/>
        <v/>
      </c>
      <c r="E142" t="str">
        <f t="shared" si="4"/>
        <v/>
      </c>
      <c r="G142" s="2" t="str">
        <f t="shared" si="5"/>
        <v/>
      </c>
    </row>
    <row r="143" spans="1:7" x14ac:dyDescent="0.25">
      <c r="A143" s="3" t="s">
        <v>163</v>
      </c>
      <c r="B143" t="str">
        <f t="shared" si="3"/>
        <v/>
      </c>
      <c r="E143" t="str">
        <f t="shared" si="4"/>
        <v/>
      </c>
      <c r="G143" s="2" t="str">
        <f t="shared" si="5"/>
        <v/>
      </c>
    </row>
    <row r="144" spans="1:7" x14ac:dyDescent="0.25">
      <c r="A144" s="3" t="s">
        <v>164</v>
      </c>
      <c r="B144" t="str">
        <f t="shared" si="3"/>
        <v/>
      </c>
      <c r="E144" t="str">
        <f t="shared" si="4"/>
        <v/>
      </c>
      <c r="G144" s="2" t="str">
        <f t="shared" si="5"/>
        <v/>
      </c>
    </row>
    <row r="145" spans="1:7" x14ac:dyDescent="0.25">
      <c r="A145" s="3" t="s">
        <v>165</v>
      </c>
      <c r="B145" t="str">
        <f t="shared" si="3"/>
        <v/>
      </c>
      <c r="E145" t="str">
        <f t="shared" si="4"/>
        <v/>
      </c>
      <c r="G145" s="2" t="str">
        <f t="shared" si="5"/>
        <v/>
      </c>
    </row>
    <row r="146" spans="1:7" x14ac:dyDescent="0.25">
      <c r="A146" s="3" t="s">
        <v>166</v>
      </c>
      <c r="B146" t="str">
        <f t="shared" si="3"/>
        <v>Octet Buffer</v>
      </c>
      <c r="D146" t="s">
        <v>528</v>
      </c>
      <c r="E146" t="str">
        <f t="shared" si="4"/>
        <v/>
      </c>
      <c r="G146" s="2" t="str">
        <f t="shared" si="5"/>
        <v/>
      </c>
    </row>
    <row r="147" spans="1:7" x14ac:dyDescent="0.25">
      <c r="A147" s="3" t="s">
        <v>167</v>
      </c>
      <c r="B147" t="str">
        <f t="shared" si="3"/>
        <v>hsCD3d/e_Acro_CDD-H52W1</v>
      </c>
      <c r="D147" t="s">
        <v>529</v>
      </c>
      <c r="E147" t="str">
        <f t="shared" si="4"/>
        <v/>
      </c>
      <c r="G147" s="2">
        <f t="shared" si="5"/>
        <v>2.4999999999999999E-8</v>
      </c>
    </row>
    <row r="148" spans="1:7" x14ac:dyDescent="0.25">
      <c r="A148" s="3" t="s">
        <v>168</v>
      </c>
      <c r="B148" t="str">
        <f t="shared" si="3"/>
        <v>Octet Buffer</v>
      </c>
      <c r="D148" t="s">
        <v>528</v>
      </c>
      <c r="E148" t="str">
        <f t="shared" si="4"/>
        <v/>
      </c>
      <c r="G148" s="2" t="str">
        <f t="shared" si="5"/>
        <v/>
      </c>
    </row>
    <row r="149" spans="1:7" x14ac:dyDescent="0.25">
      <c r="A149" s="3" t="s">
        <v>169</v>
      </c>
      <c r="B149" t="str">
        <f t="shared" si="3"/>
        <v>hsCD3d/e_Acro_CDD-H52W1</v>
      </c>
      <c r="D149" t="s">
        <v>529</v>
      </c>
      <c r="E149" t="str">
        <f t="shared" si="4"/>
        <v/>
      </c>
      <c r="G149" s="2">
        <f t="shared" si="5"/>
        <v>2.4999999999999999E-8</v>
      </c>
    </row>
    <row r="150" spans="1:7" x14ac:dyDescent="0.25">
      <c r="A150" s="3" t="s">
        <v>170</v>
      </c>
      <c r="B150" t="str">
        <f t="shared" si="3"/>
        <v>SI-157C11_P5158</v>
      </c>
      <c r="D150" t="s">
        <v>530</v>
      </c>
      <c r="E150" t="str">
        <f t="shared" si="4"/>
        <v>5</v>
      </c>
      <c r="G150" s="2" t="str">
        <f t="shared" si="5"/>
        <v/>
      </c>
    </row>
    <row r="151" spans="1:7" x14ac:dyDescent="0.25">
      <c r="A151" s="3" t="s">
        <v>171</v>
      </c>
      <c r="B151" t="str">
        <f t="shared" si="3"/>
        <v>SI-157C12_P5159</v>
      </c>
      <c r="D151" t="s">
        <v>530</v>
      </c>
      <c r="E151" t="str">
        <f t="shared" si="4"/>
        <v>5</v>
      </c>
      <c r="G151" s="2" t="str">
        <f t="shared" si="5"/>
        <v/>
      </c>
    </row>
    <row r="152" spans="1:7" x14ac:dyDescent="0.25">
      <c r="A152" s="3" t="s">
        <v>172</v>
      </c>
      <c r="B152" t="str">
        <f t="shared" si="3"/>
        <v>SI-157C13_P5198</v>
      </c>
      <c r="D152" t="s">
        <v>530</v>
      </c>
      <c r="E152" t="str">
        <f t="shared" si="4"/>
        <v>5</v>
      </c>
      <c r="G152" s="2" t="str">
        <f t="shared" si="5"/>
        <v/>
      </c>
    </row>
    <row r="153" spans="1:7" x14ac:dyDescent="0.25">
      <c r="A153" s="3" t="s">
        <v>173</v>
      </c>
      <c r="B153" t="str">
        <f t="shared" si="3"/>
        <v>SI-157C14_P5199</v>
      </c>
      <c r="D153" t="s">
        <v>530</v>
      </c>
      <c r="E153" t="str">
        <f t="shared" si="4"/>
        <v>5</v>
      </c>
      <c r="G153" s="2" t="str">
        <f t="shared" si="5"/>
        <v/>
      </c>
    </row>
    <row r="154" spans="1:7" x14ac:dyDescent="0.25">
      <c r="A154" s="3" t="s">
        <v>174</v>
      </c>
      <c r="B154" t="str">
        <f t="shared" si="3"/>
        <v>SI-157C15_P5235</v>
      </c>
      <c r="D154" t="s">
        <v>530</v>
      </c>
      <c r="E154" t="str">
        <f t="shared" si="4"/>
        <v>5</v>
      </c>
      <c r="G154" s="2" t="str">
        <f t="shared" si="5"/>
        <v/>
      </c>
    </row>
    <row r="155" spans="1:7" x14ac:dyDescent="0.25">
      <c r="A155" s="3" t="s">
        <v>175</v>
      </c>
      <c r="B155" t="str">
        <f t="shared" si="3"/>
        <v>SI-157C16_P5236</v>
      </c>
      <c r="D155" t="s">
        <v>530</v>
      </c>
      <c r="E155" t="str">
        <f t="shared" si="4"/>
        <v>5</v>
      </c>
      <c r="G155" s="2" t="str">
        <f t="shared" si="5"/>
        <v/>
      </c>
    </row>
    <row r="156" spans="1:7" x14ac:dyDescent="0.25">
      <c r="A156" s="3" t="s">
        <v>176</v>
      </c>
      <c r="B156" t="str">
        <f t="shared" si="3"/>
        <v>SI-157C17_P5237</v>
      </c>
      <c r="D156" t="s">
        <v>530</v>
      </c>
      <c r="E156" t="str">
        <f t="shared" si="4"/>
        <v>5</v>
      </c>
      <c r="G156" s="2" t="str">
        <f t="shared" si="5"/>
        <v/>
      </c>
    </row>
    <row r="157" spans="1:7" x14ac:dyDescent="0.25">
      <c r="A157" s="3" t="s">
        <v>177</v>
      </c>
      <c r="B157" t="str">
        <f t="shared" si="3"/>
        <v>SI-157C18_P5317</v>
      </c>
      <c r="D157" t="s">
        <v>530</v>
      </c>
      <c r="E157" t="str">
        <f t="shared" si="4"/>
        <v>5</v>
      </c>
      <c r="G157" s="2" t="str">
        <f t="shared" si="5"/>
        <v/>
      </c>
    </row>
    <row r="158" spans="1:7" x14ac:dyDescent="0.25">
      <c r="A158" s="3" t="s">
        <v>178</v>
      </c>
      <c r="B158" t="str">
        <f t="shared" si="3"/>
        <v>SI-83X1_P5364</v>
      </c>
      <c r="D158" t="s">
        <v>530</v>
      </c>
      <c r="E158" t="str">
        <f t="shared" si="4"/>
        <v>5</v>
      </c>
      <c r="G158" s="2" t="str">
        <f t="shared" si="5"/>
        <v/>
      </c>
    </row>
    <row r="159" spans="1:7" x14ac:dyDescent="0.25">
      <c r="A159" s="3" t="s">
        <v>179</v>
      </c>
      <c r="B159" t="str">
        <f t="shared" si="3"/>
        <v>SI-157C19_P5365</v>
      </c>
      <c r="D159" t="s">
        <v>530</v>
      </c>
      <c r="E159" t="str">
        <f t="shared" si="4"/>
        <v>5</v>
      </c>
      <c r="G159" s="2" t="str">
        <f t="shared" si="5"/>
        <v/>
      </c>
    </row>
    <row r="160" spans="1:7" x14ac:dyDescent="0.25">
      <c r="A160" s="3" t="s">
        <v>180</v>
      </c>
      <c r="B160" t="str">
        <f t="shared" si="3"/>
        <v>SI-157X47_P5533</v>
      </c>
      <c r="D160" t="s">
        <v>530</v>
      </c>
      <c r="E160" t="str">
        <f t="shared" si="4"/>
        <v>5</v>
      </c>
      <c r="G160" s="2" t="str">
        <f t="shared" si="5"/>
        <v/>
      </c>
    </row>
    <row r="161" spans="1:7" x14ac:dyDescent="0.25">
      <c r="A161" s="3" t="s">
        <v>181</v>
      </c>
      <c r="B161" t="str">
        <f t="shared" si="3"/>
        <v>SI-157X56_P5534</v>
      </c>
      <c r="D161" t="s">
        <v>530</v>
      </c>
      <c r="E161" t="str">
        <f t="shared" si="4"/>
        <v>5</v>
      </c>
      <c r="G161" s="2" t="str">
        <f t="shared" si="5"/>
        <v/>
      </c>
    </row>
    <row r="162" spans="1:7" x14ac:dyDescent="0.25">
      <c r="A162" s="3" t="s">
        <v>182</v>
      </c>
      <c r="B162" t="str">
        <f t="shared" si="3"/>
        <v>SI-157X61_P5535</v>
      </c>
      <c r="D162" t="s">
        <v>530</v>
      </c>
      <c r="E162" t="str">
        <f t="shared" si="4"/>
        <v>5</v>
      </c>
      <c r="G162" s="2" t="str">
        <f t="shared" si="5"/>
        <v/>
      </c>
    </row>
    <row r="163" spans="1:7" x14ac:dyDescent="0.25">
      <c r="A163" s="3" t="s">
        <v>183</v>
      </c>
      <c r="B163" t="str">
        <f t="shared" si="3"/>
        <v>SI-157X62_P5536</v>
      </c>
      <c r="D163" t="s">
        <v>530</v>
      </c>
      <c r="E163" t="str">
        <f t="shared" si="4"/>
        <v>5</v>
      </c>
      <c r="G163" s="2" t="str">
        <f t="shared" si="5"/>
        <v/>
      </c>
    </row>
    <row r="164" spans="1:7" x14ac:dyDescent="0.25">
      <c r="A164" s="3" t="s">
        <v>184</v>
      </c>
      <c r="B164" t="str">
        <f t="shared" si="3"/>
        <v>SI-157X63_P5537</v>
      </c>
      <c r="D164" t="s">
        <v>530</v>
      </c>
      <c r="E164" t="str">
        <f t="shared" si="4"/>
        <v>5</v>
      </c>
      <c r="G164" s="2" t="str">
        <f t="shared" si="5"/>
        <v/>
      </c>
    </row>
    <row r="165" spans="1:7" x14ac:dyDescent="0.25">
      <c r="A165" s="3" t="s">
        <v>185</v>
      </c>
      <c r="B165" t="str">
        <f t="shared" si="3"/>
        <v>SI-157X64_P5538</v>
      </c>
      <c r="D165" t="s">
        <v>530</v>
      </c>
      <c r="E165" t="str">
        <f t="shared" si="4"/>
        <v>5</v>
      </c>
      <c r="G165" s="2" t="str">
        <f t="shared" si="5"/>
        <v/>
      </c>
    </row>
    <row r="166" spans="1:7" x14ac:dyDescent="0.25">
      <c r="A166" s="3" t="s">
        <v>186</v>
      </c>
      <c r="B166" t="str">
        <f t="shared" si="3"/>
        <v>SI-157X49_P5563</v>
      </c>
      <c r="D166" t="s">
        <v>530</v>
      </c>
      <c r="E166" t="str">
        <f t="shared" si="4"/>
        <v>5</v>
      </c>
      <c r="G166" s="2" t="str">
        <f t="shared" si="5"/>
        <v/>
      </c>
    </row>
    <row r="167" spans="1:7" x14ac:dyDescent="0.25">
      <c r="A167" s="3" t="s">
        <v>187</v>
      </c>
      <c r="B167" t="str">
        <f t="shared" si="3"/>
        <v>SI-157X50_P5564</v>
      </c>
      <c r="D167" t="s">
        <v>530</v>
      </c>
      <c r="E167" t="str">
        <f t="shared" si="4"/>
        <v>5</v>
      </c>
      <c r="G167" s="2" t="str">
        <f t="shared" si="5"/>
        <v/>
      </c>
    </row>
    <row r="168" spans="1:7" x14ac:dyDescent="0.25">
      <c r="A168" s="3" t="s">
        <v>188</v>
      </c>
      <c r="B168" t="str">
        <f t="shared" si="3"/>
        <v>SI-157X53_P5565</v>
      </c>
      <c r="D168" t="s">
        <v>530</v>
      </c>
      <c r="E168" t="str">
        <f t="shared" si="4"/>
        <v>5</v>
      </c>
      <c r="G168" s="2" t="str">
        <f t="shared" si="5"/>
        <v/>
      </c>
    </row>
    <row r="169" spans="1:7" x14ac:dyDescent="0.25">
      <c r="A169" s="3" t="s">
        <v>189</v>
      </c>
      <c r="B169" t="str">
        <f t="shared" si="3"/>
        <v>SI-157X57_P5566</v>
      </c>
      <c r="D169" t="s">
        <v>530</v>
      </c>
      <c r="E169" t="str">
        <f t="shared" si="4"/>
        <v>5</v>
      </c>
      <c r="G169" s="2" t="str">
        <f t="shared" si="5"/>
        <v/>
      </c>
    </row>
    <row r="170" spans="1:7" x14ac:dyDescent="0.25">
      <c r="A170" s="3" t="s">
        <v>190</v>
      </c>
      <c r="B170" t="str">
        <f t="shared" si="3"/>
        <v>SI-157X65_P5567</v>
      </c>
      <c r="D170" t="s">
        <v>530</v>
      </c>
      <c r="E170" t="str">
        <f t="shared" si="4"/>
        <v>5</v>
      </c>
      <c r="G170" s="2" t="str">
        <f t="shared" si="5"/>
        <v/>
      </c>
    </row>
    <row r="171" spans="1:7" x14ac:dyDescent="0.25">
      <c r="A171" s="3" t="s">
        <v>191</v>
      </c>
      <c r="B171" t="str">
        <f t="shared" si="3"/>
        <v>SI-157X66_P5568</v>
      </c>
      <c r="D171" t="s">
        <v>530</v>
      </c>
      <c r="E171" t="str">
        <f t="shared" si="4"/>
        <v>5</v>
      </c>
      <c r="G171" s="2" t="str">
        <f t="shared" si="5"/>
        <v/>
      </c>
    </row>
    <row r="172" spans="1:7" x14ac:dyDescent="0.25">
      <c r="A172" s="3" t="s">
        <v>192</v>
      </c>
      <c r="B172" t="str">
        <f t="shared" si="3"/>
        <v>SI-157X67_P5569</v>
      </c>
      <c r="D172" t="s">
        <v>530</v>
      </c>
      <c r="E172" t="str">
        <f t="shared" si="4"/>
        <v>5</v>
      </c>
      <c r="G172" s="2" t="str">
        <f t="shared" si="5"/>
        <v/>
      </c>
    </row>
    <row r="173" spans="1:7" x14ac:dyDescent="0.25">
      <c r="A173" s="3" t="s">
        <v>193</v>
      </c>
      <c r="B173" t="str">
        <f t="shared" si="3"/>
        <v>SI-157X68_P5570</v>
      </c>
      <c r="D173" t="s">
        <v>530</v>
      </c>
      <c r="E173" t="str">
        <f t="shared" si="4"/>
        <v>5</v>
      </c>
      <c r="G173" s="2" t="str">
        <f t="shared" si="5"/>
        <v/>
      </c>
    </row>
    <row r="174" spans="1:7" x14ac:dyDescent="0.25">
      <c r="A174" s="3" t="s">
        <v>194</v>
      </c>
      <c r="B174" t="str">
        <f t="shared" si="3"/>
        <v>Glycine</v>
      </c>
      <c r="D174" t="s">
        <v>0</v>
      </c>
      <c r="E174" t="str">
        <f t="shared" si="4"/>
        <v/>
      </c>
      <c r="G174" s="2" t="str">
        <f t="shared" si="5"/>
        <v/>
      </c>
    </row>
    <row r="175" spans="1:7" x14ac:dyDescent="0.25">
      <c r="A175" s="3" t="s">
        <v>195</v>
      </c>
      <c r="B175" t="str">
        <f t="shared" si="3"/>
        <v>PBS</v>
      </c>
      <c r="D175" t="s">
        <v>533</v>
      </c>
      <c r="E175" t="str">
        <f t="shared" si="4"/>
        <v/>
      </c>
      <c r="G175" s="2" t="str">
        <f t="shared" si="5"/>
        <v/>
      </c>
    </row>
    <row r="176" spans="1:7" x14ac:dyDescent="0.25">
      <c r="A176" s="3" t="s">
        <v>196</v>
      </c>
      <c r="B176" t="str">
        <f t="shared" si="3"/>
        <v>Glycine</v>
      </c>
      <c r="D176" t="s">
        <v>0</v>
      </c>
      <c r="E176" t="str">
        <f t="shared" si="4"/>
        <v/>
      </c>
      <c r="G176" s="2" t="str">
        <f t="shared" si="5"/>
        <v/>
      </c>
    </row>
    <row r="177" spans="1:7" x14ac:dyDescent="0.25">
      <c r="A177" s="3" t="s">
        <v>197</v>
      </c>
      <c r="B177" t="str">
        <f t="shared" si="3"/>
        <v>PBS</v>
      </c>
      <c r="D177" t="s">
        <v>533</v>
      </c>
      <c r="E177" t="str">
        <f t="shared" si="4"/>
        <v/>
      </c>
      <c r="G177" s="2" t="str">
        <f t="shared" si="5"/>
        <v/>
      </c>
    </row>
    <row r="178" spans="1:7" x14ac:dyDescent="0.25">
      <c r="A178" s="3" t="s">
        <v>198</v>
      </c>
      <c r="B178" t="str">
        <f t="shared" si="3"/>
        <v/>
      </c>
      <c r="E178" t="str">
        <f t="shared" si="4"/>
        <v/>
      </c>
      <c r="G178" s="2" t="str">
        <f t="shared" si="5"/>
        <v/>
      </c>
    </row>
    <row r="179" spans="1:7" x14ac:dyDescent="0.25">
      <c r="A179" s="3" t="s">
        <v>199</v>
      </c>
      <c r="B179" t="str">
        <f t="shared" ref="B179:B242" si="6">""&amp;$B131</f>
        <v/>
      </c>
      <c r="E179" t="str">
        <f t="shared" ref="E179:E242" si="7">""&amp;$E131</f>
        <v/>
      </c>
      <c r="G179" s="2" t="str">
        <f t="shared" ref="G179:G242" si="8">IF(ISNUMBER(G131),G131/2,"")</f>
        <v/>
      </c>
    </row>
    <row r="180" spans="1:7" x14ac:dyDescent="0.25">
      <c r="A180" s="3" t="s">
        <v>200</v>
      </c>
      <c r="B180" t="str">
        <f t="shared" si="6"/>
        <v/>
      </c>
      <c r="E180" t="str">
        <f t="shared" si="7"/>
        <v/>
      </c>
      <c r="G180" s="2" t="str">
        <f t="shared" si="8"/>
        <v/>
      </c>
    </row>
    <row r="181" spans="1:7" x14ac:dyDescent="0.25">
      <c r="A181" s="3" t="s">
        <v>201</v>
      </c>
      <c r="B181" t="str">
        <f t="shared" si="6"/>
        <v/>
      </c>
      <c r="E181" t="str">
        <f t="shared" si="7"/>
        <v/>
      </c>
      <c r="G181" s="2" t="str">
        <f t="shared" si="8"/>
        <v/>
      </c>
    </row>
    <row r="182" spans="1:7" x14ac:dyDescent="0.25">
      <c r="A182" s="3" t="s">
        <v>202</v>
      </c>
      <c r="B182" t="str">
        <f t="shared" si="6"/>
        <v/>
      </c>
      <c r="E182" t="str">
        <f t="shared" si="7"/>
        <v/>
      </c>
      <c r="G182" s="2" t="str">
        <f t="shared" si="8"/>
        <v/>
      </c>
    </row>
    <row r="183" spans="1:7" x14ac:dyDescent="0.25">
      <c r="A183" s="3" t="s">
        <v>203</v>
      </c>
      <c r="B183" t="str">
        <f t="shared" si="6"/>
        <v/>
      </c>
      <c r="E183" t="str">
        <f t="shared" si="7"/>
        <v/>
      </c>
      <c r="G183" s="2" t="str">
        <f t="shared" si="8"/>
        <v/>
      </c>
    </row>
    <row r="184" spans="1:7" x14ac:dyDescent="0.25">
      <c r="A184" s="3" t="s">
        <v>204</v>
      </c>
      <c r="B184" t="str">
        <f t="shared" si="6"/>
        <v/>
      </c>
      <c r="E184" t="str">
        <f t="shared" si="7"/>
        <v/>
      </c>
      <c r="G184" s="2" t="str">
        <f t="shared" si="8"/>
        <v/>
      </c>
    </row>
    <row r="185" spans="1:7" x14ac:dyDescent="0.25">
      <c r="A185" s="3" t="s">
        <v>205</v>
      </c>
      <c r="B185" t="str">
        <f t="shared" si="6"/>
        <v/>
      </c>
      <c r="E185" t="str">
        <f t="shared" si="7"/>
        <v/>
      </c>
      <c r="G185" s="2" t="str">
        <f t="shared" si="8"/>
        <v/>
      </c>
    </row>
    <row r="186" spans="1:7" x14ac:dyDescent="0.25">
      <c r="A186" s="3" t="s">
        <v>206</v>
      </c>
      <c r="B186" t="str">
        <f t="shared" si="6"/>
        <v/>
      </c>
      <c r="E186" t="str">
        <f t="shared" si="7"/>
        <v/>
      </c>
      <c r="G186" s="2" t="str">
        <f t="shared" si="8"/>
        <v/>
      </c>
    </row>
    <row r="187" spans="1:7" x14ac:dyDescent="0.25">
      <c r="A187" s="3" t="s">
        <v>207</v>
      </c>
      <c r="B187" t="str">
        <f t="shared" si="6"/>
        <v/>
      </c>
      <c r="E187" t="str">
        <f t="shared" si="7"/>
        <v/>
      </c>
      <c r="G187" s="2" t="str">
        <f t="shared" si="8"/>
        <v/>
      </c>
    </row>
    <row r="188" spans="1:7" x14ac:dyDescent="0.25">
      <c r="A188" s="3" t="s">
        <v>208</v>
      </c>
      <c r="B188" t="str">
        <f t="shared" si="6"/>
        <v/>
      </c>
      <c r="E188" t="str">
        <f t="shared" si="7"/>
        <v/>
      </c>
      <c r="G188" s="2" t="str">
        <f t="shared" si="8"/>
        <v/>
      </c>
    </row>
    <row r="189" spans="1:7" x14ac:dyDescent="0.25">
      <c r="A189" s="3" t="s">
        <v>209</v>
      </c>
      <c r="B189" t="str">
        <f t="shared" si="6"/>
        <v/>
      </c>
      <c r="E189" t="str">
        <f t="shared" si="7"/>
        <v/>
      </c>
      <c r="G189" s="2" t="str">
        <f t="shared" si="8"/>
        <v/>
      </c>
    </row>
    <row r="190" spans="1:7" x14ac:dyDescent="0.25">
      <c r="A190" s="3" t="s">
        <v>210</v>
      </c>
      <c r="B190" t="str">
        <f t="shared" si="6"/>
        <v/>
      </c>
      <c r="E190" t="str">
        <f t="shared" si="7"/>
        <v/>
      </c>
      <c r="G190" s="2" t="str">
        <f t="shared" si="8"/>
        <v/>
      </c>
    </row>
    <row r="191" spans="1:7" x14ac:dyDescent="0.25">
      <c r="A191" s="3" t="s">
        <v>211</v>
      </c>
      <c r="B191" t="str">
        <f t="shared" si="6"/>
        <v/>
      </c>
      <c r="E191" t="str">
        <f t="shared" si="7"/>
        <v/>
      </c>
      <c r="G191" s="2" t="str">
        <f t="shared" si="8"/>
        <v/>
      </c>
    </row>
    <row r="192" spans="1:7" x14ac:dyDescent="0.25">
      <c r="A192" s="3" t="s">
        <v>212</v>
      </c>
      <c r="B192" t="str">
        <f t="shared" si="6"/>
        <v/>
      </c>
      <c r="E192" t="str">
        <f t="shared" si="7"/>
        <v/>
      </c>
      <c r="G192" s="2" t="str">
        <f t="shared" si="8"/>
        <v/>
      </c>
    </row>
    <row r="193" spans="1:7" x14ac:dyDescent="0.25">
      <c r="A193" s="3" t="s">
        <v>213</v>
      </c>
      <c r="B193" t="str">
        <f t="shared" si="6"/>
        <v/>
      </c>
      <c r="E193" t="str">
        <f t="shared" si="7"/>
        <v/>
      </c>
      <c r="G193" s="2" t="str">
        <f t="shared" si="8"/>
        <v/>
      </c>
    </row>
    <row r="194" spans="1:7" x14ac:dyDescent="0.25">
      <c r="A194" s="3" t="s">
        <v>214</v>
      </c>
      <c r="B194" t="str">
        <f t="shared" si="6"/>
        <v>Octet Buffer</v>
      </c>
      <c r="D194" t="s">
        <v>528</v>
      </c>
      <c r="E194" t="str">
        <f t="shared" si="7"/>
        <v/>
      </c>
      <c r="G194" s="2" t="str">
        <f t="shared" si="8"/>
        <v/>
      </c>
    </row>
    <row r="195" spans="1:7" x14ac:dyDescent="0.25">
      <c r="A195" s="3" t="s">
        <v>215</v>
      </c>
      <c r="B195" t="str">
        <f t="shared" si="6"/>
        <v>hsCD3d/e_Acro_CDD-H52W1</v>
      </c>
      <c r="D195" t="s">
        <v>529</v>
      </c>
      <c r="E195" t="str">
        <f t="shared" si="7"/>
        <v/>
      </c>
      <c r="G195" s="2">
        <f t="shared" si="8"/>
        <v>1.2499999999999999E-8</v>
      </c>
    </row>
    <row r="196" spans="1:7" x14ac:dyDescent="0.25">
      <c r="A196" s="3" t="s">
        <v>216</v>
      </c>
      <c r="B196" t="str">
        <f t="shared" si="6"/>
        <v>Octet Buffer</v>
      </c>
      <c r="D196" t="s">
        <v>528</v>
      </c>
      <c r="E196" t="str">
        <f t="shared" si="7"/>
        <v/>
      </c>
      <c r="G196" s="2" t="str">
        <f t="shared" si="8"/>
        <v/>
      </c>
    </row>
    <row r="197" spans="1:7" x14ac:dyDescent="0.25">
      <c r="A197" s="3" t="s">
        <v>217</v>
      </c>
      <c r="B197" t="str">
        <f t="shared" si="6"/>
        <v>hsCD3d/e_Acro_CDD-H52W1</v>
      </c>
      <c r="D197" t="s">
        <v>529</v>
      </c>
      <c r="E197" t="str">
        <f t="shared" si="7"/>
        <v/>
      </c>
      <c r="G197" s="2">
        <f t="shared" si="8"/>
        <v>1.2499999999999999E-8</v>
      </c>
    </row>
    <row r="198" spans="1:7" x14ac:dyDescent="0.25">
      <c r="A198" s="3" t="s">
        <v>218</v>
      </c>
      <c r="B198" t="str">
        <f t="shared" si="6"/>
        <v>SI-157C11_P5158</v>
      </c>
      <c r="D198" t="s">
        <v>530</v>
      </c>
      <c r="E198" t="str">
        <f t="shared" si="7"/>
        <v>5</v>
      </c>
      <c r="G198" s="2" t="str">
        <f t="shared" si="8"/>
        <v/>
      </c>
    </row>
    <row r="199" spans="1:7" x14ac:dyDescent="0.25">
      <c r="A199" s="3" t="s">
        <v>219</v>
      </c>
      <c r="B199" t="str">
        <f t="shared" si="6"/>
        <v>SI-157C12_P5159</v>
      </c>
      <c r="D199" t="s">
        <v>530</v>
      </c>
      <c r="E199" t="str">
        <f t="shared" si="7"/>
        <v>5</v>
      </c>
      <c r="G199" s="2" t="str">
        <f t="shared" si="8"/>
        <v/>
      </c>
    </row>
    <row r="200" spans="1:7" x14ac:dyDescent="0.25">
      <c r="A200" s="3" t="s">
        <v>220</v>
      </c>
      <c r="B200" t="str">
        <f t="shared" si="6"/>
        <v>SI-157C13_P5198</v>
      </c>
      <c r="D200" t="s">
        <v>530</v>
      </c>
      <c r="E200" t="str">
        <f t="shared" si="7"/>
        <v>5</v>
      </c>
      <c r="G200" s="2" t="str">
        <f t="shared" si="8"/>
        <v/>
      </c>
    </row>
    <row r="201" spans="1:7" x14ac:dyDescent="0.25">
      <c r="A201" s="3" t="s">
        <v>221</v>
      </c>
      <c r="B201" t="str">
        <f t="shared" si="6"/>
        <v>SI-157C14_P5199</v>
      </c>
      <c r="D201" t="s">
        <v>530</v>
      </c>
      <c r="E201" t="str">
        <f t="shared" si="7"/>
        <v>5</v>
      </c>
      <c r="G201" s="2" t="str">
        <f t="shared" si="8"/>
        <v/>
      </c>
    </row>
    <row r="202" spans="1:7" x14ac:dyDescent="0.25">
      <c r="A202" s="3" t="s">
        <v>222</v>
      </c>
      <c r="B202" t="str">
        <f t="shared" si="6"/>
        <v>SI-157C15_P5235</v>
      </c>
      <c r="D202" t="s">
        <v>530</v>
      </c>
      <c r="E202" t="str">
        <f t="shared" si="7"/>
        <v>5</v>
      </c>
      <c r="G202" s="2" t="str">
        <f t="shared" si="8"/>
        <v/>
      </c>
    </row>
    <row r="203" spans="1:7" x14ac:dyDescent="0.25">
      <c r="A203" s="3" t="s">
        <v>223</v>
      </c>
      <c r="B203" t="str">
        <f t="shared" si="6"/>
        <v>SI-157C16_P5236</v>
      </c>
      <c r="D203" t="s">
        <v>530</v>
      </c>
      <c r="E203" t="str">
        <f t="shared" si="7"/>
        <v>5</v>
      </c>
      <c r="G203" s="2" t="str">
        <f t="shared" si="8"/>
        <v/>
      </c>
    </row>
    <row r="204" spans="1:7" x14ac:dyDescent="0.25">
      <c r="A204" s="3" t="s">
        <v>224</v>
      </c>
      <c r="B204" t="str">
        <f t="shared" si="6"/>
        <v>SI-157C17_P5237</v>
      </c>
      <c r="D204" t="s">
        <v>530</v>
      </c>
      <c r="E204" t="str">
        <f t="shared" si="7"/>
        <v>5</v>
      </c>
      <c r="G204" s="2" t="str">
        <f t="shared" si="8"/>
        <v/>
      </c>
    </row>
    <row r="205" spans="1:7" x14ac:dyDescent="0.25">
      <c r="A205" s="3" t="s">
        <v>225</v>
      </c>
      <c r="B205" t="str">
        <f t="shared" si="6"/>
        <v>SI-157C18_P5317</v>
      </c>
      <c r="D205" t="s">
        <v>530</v>
      </c>
      <c r="E205" t="str">
        <f t="shared" si="7"/>
        <v>5</v>
      </c>
      <c r="G205" s="2" t="str">
        <f t="shared" si="8"/>
        <v/>
      </c>
    </row>
    <row r="206" spans="1:7" x14ac:dyDescent="0.25">
      <c r="A206" s="3" t="s">
        <v>226</v>
      </c>
      <c r="B206" t="str">
        <f t="shared" si="6"/>
        <v>SI-83X1_P5364</v>
      </c>
      <c r="D206" t="s">
        <v>530</v>
      </c>
      <c r="E206" t="str">
        <f t="shared" si="7"/>
        <v>5</v>
      </c>
      <c r="G206" s="2" t="str">
        <f t="shared" si="8"/>
        <v/>
      </c>
    </row>
    <row r="207" spans="1:7" x14ac:dyDescent="0.25">
      <c r="A207" s="3" t="s">
        <v>227</v>
      </c>
      <c r="B207" t="str">
        <f t="shared" si="6"/>
        <v>SI-157C19_P5365</v>
      </c>
      <c r="D207" t="s">
        <v>530</v>
      </c>
      <c r="E207" t="str">
        <f t="shared" si="7"/>
        <v>5</v>
      </c>
      <c r="G207" s="2" t="str">
        <f t="shared" si="8"/>
        <v/>
      </c>
    </row>
    <row r="208" spans="1:7" x14ac:dyDescent="0.25">
      <c r="A208" s="3" t="s">
        <v>228</v>
      </c>
      <c r="B208" t="str">
        <f t="shared" si="6"/>
        <v>SI-157X47_P5533</v>
      </c>
      <c r="D208" t="s">
        <v>530</v>
      </c>
      <c r="E208" t="str">
        <f t="shared" si="7"/>
        <v>5</v>
      </c>
      <c r="G208" s="2" t="str">
        <f t="shared" si="8"/>
        <v/>
      </c>
    </row>
    <row r="209" spans="1:7" x14ac:dyDescent="0.25">
      <c r="A209" s="3" t="s">
        <v>229</v>
      </c>
      <c r="B209" t="str">
        <f t="shared" si="6"/>
        <v>SI-157X56_P5534</v>
      </c>
      <c r="D209" t="s">
        <v>530</v>
      </c>
      <c r="E209" t="str">
        <f t="shared" si="7"/>
        <v>5</v>
      </c>
      <c r="G209" s="2" t="str">
        <f t="shared" si="8"/>
        <v/>
      </c>
    </row>
    <row r="210" spans="1:7" x14ac:dyDescent="0.25">
      <c r="A210" s="3" t="s">
        <v>230</v>
      </c>
      <c r="B210" t="str">
        <f t="shared" si="6"/>
        <v>SI-157X61_P5535</v>
      </c>
      <c r="D210" t="s">
        <v>530</v>
      </c>
      <c r="E210" t="str">
        <f t="shared" si="7"/>
        <v>5</v>
      </c>
      <c r="G210" s="2" t="str">
        <f t="shared" si="8"/>
        <v/>
      </c>
    </row>
    <row r="211" spans="1:7" x14ac:dyDescent="0.25">
      <c r="A211" s="3" t="s">
        <v>231</v>
      </c>
      <c r="B211" t="str">
        <f t="shared" si="6"/>
        <v>SI-157X62_P5536</v>
      </c>
      <c r="D211" t="s">
        <v>530</v>
      </c>
      <c r="E211" t="str">
        <f t="shared" si="7"/>
        <v>5</v>
      </c>
      <c r="G211" s="2" t="str">
        <f t="shared" si="8"/>
        <v/>
      </c>
    </row>
    <row r="212" spans="1:7" x14ac:dyDescent="0.25">
      <c r="A212" s="3" t="s">
        <v>232</v>
      </c>
      <c r="B212" t="str">
        <f t="shared" si="6"/>
        <v>SI-157X63_P5537</v>
      </c>
      <c r="D212" t="s">
        <v>530</v>
      </c>
      <c r="E212" t="str">
        <f t="shared" si="7"/>
        <v>5</v>
      </c>
      <c r="G212" s="2" t="str">
        <f t="shared" si="8"/>
        <v/>
      </c>
    </row>
    <row r="213" spans="1:7" x14ac:dyDescent="0.25">
      <c r="A213" s="3" t="s">
        <v>233</v>
      </c>
      <c r="B213" t="str">
        <f t="shared" si="6"/>
        <v>SI-157X64_P5538</v>
      </c>
      <c r="D213" t="s">
        <v>530</v>
      </c>
      <c r="E213" t="str">
        <f t="shared" si="7"/>
        <v>5</v>
      </c>
      <c r="G213" s="2" t="str">
        <f t="shared" si="8"/>
        <v/>
      </c>
    </row>
    <row r="214" spans="1:7" x14ac:dyDescent="0.25">
      <c r="A214" s="3" t="s">
        <v>234</v>
      </c>
      <c r="B214" t="str">
        <f t="shared" si="6"/>
        <v>SI-157X49_P5563</v>
      </c>
      <c r="D214" t="s">
        <v>530</v>
      </c>
      <c r="E214" t="str">
        <f t="shared" si="7"/>
        <v>5</v>
      </c>
      <c r="G214" s="2" t="str">
        <f t="shared" si="8"/>
        <v/>
      </c>
    </row>
    <row r="215" spans="1:7" x14ac:dyDescent="0.25">
      <c r="A215" s="3" t="s">
        <v>235</v>
      </c>
      <c r="B215" t="str">
        <f t="shared" si="6"/>
        <v>SI-157X50_P5564</v>
      </c>
      <c r="D215" t="s">
        <v>530</v>
      </c>
      <c r="E215" t="str">
        <f t="shared" si="7"/>
        <v>5</v>
      </c>
      <c r="G215" s="2" t="str">
        <f t="shared" si="8"/>
        <v/>
      </c>
    </row>
    <row r="216" spans="1:7" x14ac:dyDescent="0.25">
      <c r="A216" s="3" t="s">
        <v>236</v>
      </c>
      <c r="B216" t="str">
        <f t="shared" si="6"/>
        <v>SI-157X53_P5565</v>
      </c>
      <c r="D216" t="s">
        <v>530</v>
      </c>
      <c r="E216" t="str">
        <f t="shared" si="7"/>
        <v>5</v>
      </c>
      <c r="G216" s="2" t="str">
        <f t="shared" si="8"/>
        <v/>
      </c>
    </row>
    <row r="217" spans="1:7" x14ac:dyDescent="0.25">
      <c r="A217" s="3" t="s">
        <v>237</v>
      </c>
      <c r="B217" t="str">
        <f t="shared" si="6"/>
        <v>SI-157X57_P5566</v>
      </c>
      <c r="D217" t="s">
        <v>530</v>
      </c>
      <c r="E217" t="str">
        <f t="shared" si="7"/>
        <v>5</v>
      </c>
      <c r="G217" s="2" t="str">
        <f t="shared" si="8"/>
        <v/>
      </c>
    </row>
    <row r="218" spans="1:7" x14ac:dyDescent="0.25">
      <c r="A218" s="3" t="s">
        <v>238</v>
      </c>
      <c r="B218" t="str">
        <f t="shared" si="6"/>
        <v>SI-157X65_P5567</v>
      </c>
      <c r="D218" t="s">
        <v>530</v>
      </c>
      <c r="E218" t="str">
        <f t="shared" si="7"/>
        <v>5</v>
      </c>
      <c r="G218" s="2" t="str">
        <f t="shared" si="8"/>
        <v/>
      </c>
    </row>
    <row r="219" spans="1:7" x14ac:dyDescent="0.25">
      <c r="A219" s="3" t="s">
        <v>239</v>
      </c>
      <c r="B219" t="str">
        <f t="shared" si="6"/>
        <v>SI-157X66_P5568</v>
      </c>
      <c r="D219" t="s">
        <v>530</v>
      </c>
      <c r="E219" t="str">
        <f t="shared" si="7"/>
        <v>5</v>
      </c>
      <c r="G219" s="2" t="str">
        <f t="shared" si="8"/>
        <v/>
      </c>
    </row>
    <row r="220" spans="1:7" x14ac:dyDescent="0.25">
      <c r="A220" s="3" t="s">
        <v>240</v>
      </c>
      <c r="B220" t="str">
        <f t="shared" si="6"/>
        <v>SI-157X67_P5569</v>
      </c>
      <c r="D220" t="s">
        <v>530</v>
      </c>
      <c r="E220" t="str">
        <f t="shared" si="7"/>
        <v>5</v>
      </c>
      <c r="G220" s="2" t="str">
        <f t="shared" si="8"/>
        <v/>
      </c>
    </row>
    <row r="221" spans="1:7" x14ac:dyDescent="0.25">
      <c r="A221" s="3" t="s">
        <v>241</v>
      </c>
      <c r="B221" t="str">
        <f t="shared" si="6"/>
        <v>SI-157X68_P5570</v>
      </c>
      <c r="D221" t="s">
        <v>530</v>
      </c>
      <c r="E221" t="str">
        <f t="shared" si="7"/>
        <v>5</v>
      </c>
      <c r="G221" s="2" t="str">
        <f t="shared" si="8"/>
        <v/>
      </c>
    </row>
    <row r="222" spans="1:7" x14ac:dyDescent="0.25">
      <c r="A222" s="3" t="s">
        <v>242</v>
      </c>
      <c r="B222" t="str">
        <f t="shared" si="6"/>
        <v>Glycine</v>
      </c>
      <c r="D222" t="s">
        <v>0</v>
      </c>
      <c r="E222" t="str">
        <f t="shared" si="7"/>
        <v/>
      </c>
      <c r="G222" s="2" t="str">
        <f t="shared" si="8"/>
        <v/>
      </c>
    </row>
    <row r="223" spans="1:7" x14ac:dyDescent="0.25">
      <c r="A223" s="3" t="s">
        <v>243</v>
      </c>
      <c r="B223" t="str">
        <f t="shared" si="6"/>
        <v>PBS</v>
      </c>
      <c r="D223" t="s">
        <v>533</v>
      </c>
      <c r="E223" t="str">
        <f t="shared" si="7"/>
        <v/>
      </c>
      <c r="G223" s="2" t="str">
        <f t="shared" si="8"/>
        <v/>
      </c>
    </row>
    <row r="224" spans="1:7" x14ac:dyDescent="0.25">
      <c r="A224" s="3" t="s">
        <v>244</v>
      </c>
      <c r="B224" t="str">
        <f t="shared" si="6"/>
        <v>Glycine</v>
      </c>
      <c r="D224" t="s">
        <v>0</v>
      </c>
      <c r="E224" t="str">
        <f t="shared" si="7"/>
        <v/>
      </c>
      <c r="G224" s="2" t="str">
        <f t="shared" si="8"/>
        <v/>
      </c>
    </row>
    <row r="225" spans="1:7" x14ac:dyDescent="0.25">
      <c r="A225" s="3" t="s">
        <v>245</v>
      </c>
      <c r="B225" t="str">
        <f t="shared" si="6"/>
        <v>PBS</v>
      </c>
      <c r="D225" t="s">
        <v>533</v>
      </c>
      <c r="E225" t="str">
        <f t="shared" si="7"/>
        <v/>
      </c>
      <c r="G225" s="2" t="str">
        <f t="shared" si="8"/>
        <v/>
      </c>
    </row>
    <row r="226" spans="1:7" x14ac:dyDescent="0.25">
      <c r="A226" s="3" t="s">
        <v>246</v>
      </c>
      <c r="B226" t="str">
        <f t="shared" si="6"/>
        <v/>
      </c>
      <c r="E226" t="str">
        <f t="shared" si="7"/>
        <v/>
      </c>
      <c r="G226" s="2" t="str">
        <f t="shared" si="8"/>
        <v/>
      </c>
    </row>
    <row r="227" spans="1:7" x14ac:dyDescent="0.25">
      <c r="A227" s="3" t="s">
        <v>247</v>
      </c>
      <c r="B227" t="str">
        <f t="shared" si="6"/>
        <v/>
      </c>
      <c r="E227" t="str">
        <f t="shared" si="7"/>
        <v/>
      </c>
      <c r="G227" s="2" t="str">
        <f t="shared" si="8"/>
        <v/>
      </c>
    </row>
    <row r="228" spans="1:7" x14ac:dyDescent="0.25">
      <c r="A228" s="3" t="s">
        <v>248</v>
      </c>
      <c r="B228" t="str">
        <f t="shared" si="6"/>
        <v/>
      </c>
      <c r="E228" t="str">
        <f t="shared" si="7"/>
        <v/>
      </c>
      <c r="G228" s="2" t="str">
        <f t="shared" si="8"/>
        <v/>
      </c>
    </row>
    <row r="229" spans="1:7" x14ac:dyDescent="0.25">
      <c r="A229" s="3" t="s">
        <v>249</v>
      </c>
      <c r="B229" t="str">
        <f t="shared" si="6"/>
        <v/>
      </c>
      <c r="E229" t="str">
        <f t="shared" si="7"/>
        <v/>
      </c>
      <c r="G229" s="2" t="str">
        <f t="shared" si="8"/>
        <v/>
      </c>
    </row>
    <row r="230" spans="1:7" x14ac:dyDescent="0.25">
      <c r="A230" s="3" t="s">
        <v>250</v>
      </c>
      <c r="B230" t="str">
        <f t="shared" si="6"/>
        <v/>
      </c>
      <c r="E230" t="str">
        <f t="shared" si="7"/>
        <v/>
      </c>
      <c r="G230" s="2" t="str">
        <f t="shared" si="8"/>
        <v/>
      </c>
    </row>
    <row r="231" spans="1:7" x14ac:dyDescent="0.25">
      <c r="A231" s="3" t="s">
        <v>251</v>
      </c>
      <c r="B231" t="str">
        <f t="shared" si="6"/>
        <v/>
      </c>
      <c r="E231" t="str">
        <f t="shared" si="7"/>
        <v/>
      </c>
      <c r="G231" s="2" t="str">
        <f t="shared" si="8"/>
        <v/>
      </c>
    </row>
    <row r="232" spans="1:7" x14ac:dyDescent="0.25">
      <c r="A232" s="3" t="s">
        <v>252</v>
      </c>
      <c r="B232" t="str">
        <f t="shared" si="6"/>
        <v/>
      </c>
      <c r="E232" t="str">
        <f t="shared" si="7"/>
        <v/>
      </c>
      <c r="G232" s="2" t="str">
        <f t="shared" si="8"/>
        <v/>
      </c>
    </row>
    <row r="233" spans="1:7" x14ac:dyDescent="0.25">
      <c r="A233" s="3" t="s">
        <v>253</v>
      </c>
      <c r="B233" t="str">
        <f t="shared" si="6"/>
        <v/>
      </c>
      <c r="E233" t="str">
        <f t="shared" si="7"/>
        <v/>
      </c>
      <c r="G233" s="2" t="str">
        <f t="shared" si="8"/>
        <v/>
      </c>
    </row>
    <row r="234" spans="1:7" x14ac:dyDescent="0.25">
      <c r="A234" s="3" t="s">
        <v>254</v>
      </c>
      <c r="B234" t="str">
        <f t="shared" si="6"/>
        <v/>
      </c>
      <c r="E234" t="str">
        <f t="shared" si="7"/>
        <v/>
      </c>
      <c r="G234" s="2" t="str">
        <f t="shared" si="8"/>
        <v/>
      </c>
    </row>
    <row r="235" spans="1:7" x14ac:dyDescent="0.25">
      <c r="A235" s="3" t="s">
        <v>255</v>
      </c>
      <c r="B235" t="str">
        <f t="shared" si="6"/>
        <v/>
      </c>
      <c r="E235" t="str">
        <f t="shared" si="7"/>
        <v/>
      </c>
      <c r="G235" s="2" t="str">
        <f t="shared" si="8"/>
        <v/>
      </c>
    </row>
    <row r="236" spans="1:7" x14ac:dyDescent="0.25">
      <c r="A236" s="3" t="s">
        <v>256</v>
      </c>
      <c r="B236" t="str">
        <f t="shared" si="6"/>
        <v/>
      </c>
      <c r="E236" t="str">
        <f t="shared" si="7"/>
        <v/>
      </c>
      <c r="G236" s="2" t="str">
        <f t="shared" si="8"/>
        <v/>
      </c>
    </row>
    <row r="237" spans="1:7" x14ac:dyDescent="0.25">
      <c r="A237" s="3" t="s">
        <v>257</v>
      </c>
      <c r="B237" t="str">
        <f t="shared" si="6"/>
        <v/>
      </c>
      <c r="E237" t="str">
        <f t="shared" si="7"/>
        <v/>
      </c>
      <c r="G237" s="2" t="str">
        <f t="shared" si="8"/>
        <v/>
      </c>
    </row>
    <row r="238" spans="1:7" x14ac:dyDescent="0.25">
      <c r="A238" s="3" t="s">
        <v>258</v>
      </c>
      <c r="B238" t="str">
        <f t="shared" si="6"/>
        <v/>
      </c>
      <c r="E238" t="str">
        <f t="shared" si="7"/>
        <v/>
      </c>
      <c r="G238" s="2" t="str">
        <f t="shared" si="8"/>
        <v/>
      </c>
    </row>
    <row r="239" spans="1:7" x14ac:dyDescent="0.25">
      <c r="A239" s="3" t="s">
        <v>259</v>
      </c>
      <c r="B239" t="str">
        <f t="shared" si="6"/>
        <v/>
      </c>
      <c r="E239" t="str">
        <f t="shared" si="7"/>
        <v/>
      </c>
      <c r="G239" s="2" t="str">
        <f t="shared" si="8"/>
        <v/>
      </c>
    </row>
    <row r="240" spans="1:7" x14ac:dyDescent="0.25">
      <c r="A240" s="3" t="s">
        <v>260</v>
      </c>
      <c r="B240" t="str">
        <f t="shared" si="6"/>
        <v/>
      </c>
      <c r="E240" t="str">
        <f t="shared" si="7"/>
        <v/>
      </c>
      <c r="G240" s="2" t="str">
        <f t="shared" si="8"/>
        <v/>
      </c>
    </row>
    <row r="241" spans="1:7" x14ac:dyDescent="0.25">
      <c r="A241" s="3" t="s">
        <v>261</v>
      </c>
      <c r="B241" t="str">
        <f t="shared" si="6"/>
        <v/>
      </c>
      <c r="E241" t="str">
        <f t="shared" si="7"/>
        <v/>
      </c>
      <c r="G241" s="2" t="str">
        <f t="shared" si="8"/>
        <v/>
      </c>
    </row>
    <row r="242" spans="1:7" x14ac:dyDescent="0.25">
      <c r="A242" s="3" t="s">
        <v>262</v>
      </c>
      <c r="B242" t="str">
        <f t="shared" si="6"/>
        <v>Octet Buffer</v>
      </c>
      <c r="D242" t="s">
        <v>528</v>
      </c>
      <c r="E242" t="str">
        <f t="shared" si="7"/>
        <v/>
      </c>
      <c r="G242" s="2" t="str">
        <f t="shared" si="8"/>
        <v/>
      </c>
    </row>
    <row r="243" spans="1:7" x14ac:dyDescent="0.25">
      <c r="A243" s="3" t="s">
        <v>263</v>
      </c>
      <c r="B243" t="str">
        <f t="shared" ref="B243:B306" si="9">""&amp;$B195</f>
        <v>hsCD3d/e_Acro_CDD-H52W1</v>
      </c>
      <c r="D243" t="s">
        <v>529</v>
      </c>
      <c r="E243" t="str">
        <f t="shared" ref="E243:E306" si="10">""&amp;$E195</f>
        <v/>
      </c>
      <c r="G243" s="2">
        <f t="shared" ref="G243:G306" si="11">IF(ISNUMBER(G195),G195/2,"")</f>
        <v>6.2499999999999997E-9</v>
      </c>
    </row>
    <row r="244" spans="1:7" x14ac:dyDescent="0.25">
      <c r="A244" s="3" t="s">
        <v>264</v>
      </c>
      <c r="B244" t="str">
        <f t="shared" si="9"/>
        <v>Octet Buffer</v>
      </c>
      <c r="D244" t="s">
        <v>528</v>
      </c>
      <c r="E244" t="str">
        <f t="shared" si="10"/>
        <v/>
      </c>
      <c r="G244" s="2" t="str">
        <f t="shared" si="11"/>
        <v/>
      </c>
    </row>
    <row r="245" spans="1:7" x14ac:dyDescent="0.25">
      <c r="A245" s="3" t="s">
        <v>265</v>
      </c>
      <c r="B245" t="str">
        <f t="shared" si="9"/>
        <v>hsCD3d/e_Acro_CDD-H52W1</v>
      </c>
      <c r="D245" t="s">
        <v>529</v>
      </c>
      <c r="E245" t="str">
        <f t="shared" si="10"/>
        <v/>
      </c>
      <c r="G245" s="2">
        <f t="shared" si="11"/>
        <v>6.2499999999999997E-9</v>
      </c>
    </row>
    <row r="246" spans="1:7" x14ac:dyDescent="0.25">
      <c r="A246" s="3" t="s">
        <v>266</v>
      </c>
      <c r="B246" t="str">
        <f t="shared" si="9"/>
        <v>SI-157C11_P5158</v>
      </c>
      <c r="D246" t="s">
        <v>530</v>
      </c>
      <c r="E246" t="str">
        <f t="shared" si="10"/>
        <v>5</v>
      </c>
      <c r="G246" s="2" t="str">
        <f t="shared" si="11"/>
        <v/>
      </c>
    </row>
    <row r="247" spans="1:7" x14ac:dyDescent="0.25">
      <c r="A247" s="3" t="s">
        <v>267</v>
      </c>
      <c r="B247" t="str">
        <f t="shared" si="9"/>
        <v>SI-157C12_P5159</v>
      </c>
      <c r="D247" t="s">
        <v>530</v>
      </c>
      <c r="E247" t="str">
        <f t="shared" si="10"/>
        <v>5</v>
      </c>
      <c r="G247" s="2" t="str">
        <f t="shared" si="11"/>
        <v/>
      </c>
    </row>
    <row r="248" spans="1:7" x14ac:dyDescent="0.25">
      <c r="A248" s="3" t="s">
        <v>268</v>
      </c>
      <c r="B248" t="str">
        <f t="shared" si="9"/>
        <v>SI-157C13_P5198</v>
      </c>
      <c r="D248" t="s">
        <v>530</v>
      </c>
      <c r="E248" t="str">
        <f t="shared" si="10"/>
        <v>5</v>
      </c>
      <c r="G248" s="2" t="str">
        <f t="shared" si="11"/>
        <v/>
      </c>
    </row>
    <row r="249" spans="1:7" x14ac:dyDescent="0.25">
      <c r="A249" s="3" t="s">
        <v>269</v>
      </c>
      <c r="B249" t="str">
        <f t="shared" si="9"/>
        <v>SI-157C14_P5199</v>
      </c>
      <c r="D249" t="s">
        <v>530</v>
      </c>
      <c r="E249" t="str">
        <f t="shared" si="10"/>
        <v>5</v>
      </c>
      <c r="G249" s="2" t="str">
        <f t="shared" si="11"/>
        <v/>
      </c>
    </row>
    <row r="250" spans="1:7" x14ac:dyDescent="0.25">
      <c r="A250" s="3" t="s">
        <v>270</v>
      </c>
      <c r="B250" t="str">
        <f t="shared" si="9"/>
        <v>SI-157C15_P5235</v>
      </c>
      <c r="D250" t="s">
        <v>530</v>
      </c>
      <c r="E250" t="str">
        <f t="shared" si="10"/>
        <v>5</v>
      </c>
      <c r="G250" s="2" t="str">
        <f t="shared" si="11"/>
        <v/>
      </c>
    </row>
    <row r="251" spans="1:7" x14ac:dyDescent="0.25">
      <c r="A251" s="3" t="s">
        <v>271</v>
      </c>
      <c r="B251" t="str">
        <f t="shared" si="9"/>
        <v>SI-157C16_P5236</v>
      </c>
      <c r="D251" t="s">
        <v>530</v>
      </c>
      <c r="E251" t="str">
        <f t="shared" si="10"/>
        <v>5</v>
      </c>
      <c r="G251" s="2" t="str">
        <f t="shared" si="11"/>
        <v/>
      </c>
    </row>
    <row r="252" spans="1:7" x14ac:dyDescent="0.25">
      <c r="A252" s="3" t="s">
        <v>272</v>
      </c>
      <c r="B252" t="str">
        <f t="shared" si="9"/>
        <v>SI-157C17_P5237</v>
      </c>
      <c r="D252" t="s">
        <v>530</v>
      </c>
      <c r="E252" t="str">
        <f t="shared" si="10"/>
        <v>5</v>
      </c>
      <c r="G252" s="2" t="str">
        <f t="shared" si="11"/>
        <v/>
      </c>
    </row>
    <row r="253" spans="1:7" x14ac:dyDescent="0.25">
      <c r="A253" s="3" t="s">
        <v>273</v>
      </c>
      <c r="B253" t="str">
        <f t="shared" si="9"/>
        <v>SI-157C18_P5317</v>
      </c>
      <c r="D253" t="s">
        <v>530</v>
      </c>
      <c r="E253" t="str">
        <f t="shared" si="10"/>
        <v>5</v>
      </c>
      <c r="G253" s="2" t="str">
        <f t="shared" si="11"/>
        <v/>
      </c>
    </row>
    <row r="254" spans="1:7" x14ac:dyDescent="0.25">
      <c r="A254" s="3" t="s">
        <v>274</v>
      </c>
      <c r="B254" t="str">
        <f t="shared" si="9"/>
        <v>SI-83X1_P5364</v>
      </c>
      <c r="D254" t="s">
        <v>530</v>
      </c>
      <c r="E254" t="str">
        <f t="shared" si="10"/>
        <v>5</v>
      </c>
      <c r="G254" s="2" t="str">
        <f t="shared" si="11"/>
        <v/>
      </c>
    </row>
    <row r="255" spans="1:7" x14ac:dyDescent="0.25">
      <c r="A255" s="3" t="s">
        <v>275</v>
      </c>
      <c r="B255" t="str">
        <f t="shared" si="9"/>
        <v>SI-157C19_P5365</v>
      </c>
      <c r="D255" t="s">
        <v>530</v>
      </c>
      <c r="E255" t="str">
        <f t="shared" si="10"/>
        <v>5</v>
      </c>
      <c r="G255" s="2" t="str">
        <f t="shared" si="11"/>
        <v/>
      </c>
    </row>
    <row r="256" spans="1:7" x14ac:dyDescent="0.25">
      <c r="A256" s="3" t="s">
        <v>276</v>
      </c>
      <c r="B256" t="str">
        <f t="shared" si="9"/>
        <v>SI-157X47_P5533</v>
      </c>
      <c r="D256" t="s">
        <v>530</v>
      </c>
      <c r="E256" t="str">
        <f t="shared" si="10"/>
        <v>5</v>
      </c>
      <c r="G256" s="2" t="str">
        <f t="shared" si="11"/>
        <v/>
      </c>
    </row>
    <row r="257" spans="1:7" x14ac:dyDescent="0.25">
      <c r="A257" s="3" t="s">
        <v>277</v>
      </c>
      <c r="B257" t="str">
        <f t="shared" si="9"/>
        <v>SI-157X56_P5534</v>
      </c>
      <c r="D257" t="s">
        <v>530</v>
      </c>
      <c r="E257" t="str">
        <f t="shared" si="10"/>
        <v>5</v>
      </c>
      <c r="G257" s="2" t="str">
        <f t="shared" si="11"/>
        <v/>
      </c>
    </row>
    <row r="258" spans="1:7" x14ac:dyDescent="0.25">
      <c r="A258" s="3" t="s">
        <v>278</v>
      </c>
      <c r="B258" t="str">
        <f t="shared" si="9"/>
        <v>SI-157X61_P5535</v>
      </c>
      <c r="D258" t="s">
        <v>530</v>
      </c>
      <c r="E258" t="str">
        <f t="shared" si="10"/>
        <v>5</v>
      </c>
      <c r="G258" s="2" t="str">
        <f t="shared" si="11"/>
        <v/>
      </c>
    </row>
    <row r="259" spans="1:7" x14ac:dyDescent="0.25">
      <c r="A259" s="3" t="s">
        <v>279</v>
      </c>
      <c r="B259" t="str">
        <f t="shared" si="9"/>
        <v>SI-157X62_P5536</v>
      </c>
      <c r="D259" t="s">
        <v>530</v>
      </c>
      <c r="E259" t="str">
        <f t="shared" si="10"/>
        <v>5</v>
      </c>
      <c r="G259" s="2" t="str">
        <f t="shared" si="11"/>
        <v/>
      </c>
    </row>
    <row r="260" spans="1:7" x14ac:dyDescent="0.25">
      <c r="A260" s="3" t="s">
        <v>280</v>
      </c>
      <c r="B260" t="str">
        <f t="shared" si="9"/>
        <v>SI-157X63_P5537</v>
      </c>
      <c r="D260" t="s">
        <v>530</v>
      </c>
      <c r="E260" t="str">
        <f t="shared" si="10"/>
        <v>5</v>
      </c>
      <c r="G260" s="2" t="str">
        <f t="shared" si="11"/>
        <v/>
      </c>
    </row>
    <row r="261" spans="1:7" x14ac:dyDescent="0.25">
      <c r="A261" s="3" t="s">
        <v>281</v>
      </c>
      <c r="B261" t="str">
        <f t="shared" si="9"/>
        <v>SI-157X64_P5538</v>
      </c>
      <c r="D261" t="s">
        <v>530</v>
      </c>
      <c r="E261" t="str">
        <f t="shared" si="10"/>
        <v>5</v>
      </c>
      <c r="G261" s="2" t="str">
        <f t="shared" si="11"/>
        <v/>
      </c>
    </row>
    <row r="262" spans="1:7" x14ac:dyDescent="0.25">
      <c r="A262" s="3" t="s">
        <v>282</v>
      </c>
      <c r="B262" t="str">
        <f t="shared" si="9"/>
        <v>SI-157X49_P5563</v>
      </c>
      <c r="D262" t="s">
        <v>530</v>
      </c>
      <c r="E262" t="str">
        <f t="shared" si="10"/>
        <v>5</v>
      </c>
      <c r="G262" s="2" t="str">
        <f t="shared" si="11"/>
        <v/>
      </c>
    </row>
    <row r="263" spans="1:7" x14ac:dyDescent="0.25">
      <c r="A263" s="3" t="s">
        <v>283</v>
      </c>
      <c r="B263" t="str">
        <f t="shared" si="9"/>
        <v>SI-157X50_P5564</v>
      </c>
      <c r="D263" t="s">
        <v>530</v>
      </c>
      <c r="E263" t="str">
        <f t="shared" si="10"/>
        <v>5</v>
      </c>
      <c r="G263" s="2" t="str">
        <f t="shared" si="11"/>
        <v/>
      </c>
    </row>
    <row r="264" spans="1:7" x14ac:dyDescent="0.25">
      <c r="A264" s="3" t="s">
        <v>284</v>
      </c>
      <c r="B264" t="str">
        <f t="shared" si="9"/>
        <v>SI-157X53_P5565</v>
      </c>
      <c r="D264" t="s">
        <v>530</v>
      </c>
      <c r="E264" t="str">
        <f t="shared" si="10"/>
        <v>5</v>
      </c>
      <c r="G264" s="2" t="str">
        <f t="shared" si="11"/>
        <v/>
      </c>
    </row>
    <row r="265" spans="1:7" x14ac:dyDescent="0.25">
      <c r="A265" s="3" t="s">
        <v>285</v>
      </c>
      <c r="B265" t="str">
        <f t="shared" si="9"/>
        <v>SI-157X57_P5566</v>
      </c>
      <c r="D265" t="s">
        <v>530</v>
      </c>
      <c r="E265" t="str">
        <f t="shared" si="10"/>
        <v>5</v>
      </c>
      <c r="G265" s="2" t="str">
        <f t="shared" si="11"/>
        <v/>
      </c>
    </row>
    <row r="266" spans="1:7" x14ac:dyDescent="0.25">
      <c r="A266" s="3" t="s">
        <v>286</v>
      </c>
      <c r="B266" t="str">
        <f t="shared" si="9"/>
        <v>SI-157X65_P5567</v>
      </c>
      <c r="D266" t="s">
        <v>530</v>
      </c>
      <c r="E266" t="str">
        <f t="shared" si="10"/>
        <v>5</v>
      </c>
      <c r="G266" s="2" t="str">
        <f t="shared" si="11"/>
        <v/>
      </c>
    </row>
    <row r="267" spans="1:7" x14ac:dyDescent="0.25">
      <c r="A267" s="3" t="s">
        <v>287</v>
      </c>
      <c r="B267" t="str">
        <f t="shared" si="9"/>
        <v>SI-157X66_P5568</v>
      </c>
      <c r="D267" t="s">
        <v>530</v>
      </c>
      <c r="E267" t="str">
        <f t="shared" si="10"/>
        <v>5</v>
      </c>
      <c r="G267" s="2" t="str">
        <f t="shared" si="11"/>
        <v/>
      </c>
    </row>
    <row r="268" spans="1:7" x14ac:dyDescent="0.25">
      <c r="A268" s="3" t="s">
        <v>288</v>
      </c>
      <c r="B268" t="str">
        <f t="shared" si="9"/>
        <v>SI-157X67_P5569</v>
      </c>
      <c r="D268" t="s">
        <v>530</v>
      </c>
      <c r="E268" t="str">
        <f t="shared" si="10"/>
        <v>5</v>
      </c>
      <c r="G268" s="2" t="str">
        <f t="shared" si="11"/>
        <v/>
      </c>
    </row>
    <row r="269" spans="1:7" x14ac:dyDescent="0.25">
      <c r="A269" s="3" t="s">
        <v>289</v>
      </c>
      <c r="B269" t="str">
        <f t="shared" si="9"/>
        <v>SI-157X68_P5570</v>
      </c>
      <c r="D269" t="s">
        <v>530</v>
      </c>
      <c r="E269" t="str">
        <f t="shared" si="10"/>
        <v>5</v>
      </c>
      <c r="G269" s="2" t="str">
        <f t="shared" si="11"/>
        <v/>
      </c>
    </row>
    <row r="270" spans="1:7" x14ac:dyDescent="0.25">
      <c r="A270" s="3" t="s">
        <v>290</v>
      </c>
      <c r="B270" t="str">
        <f t="shared" si="9"/>
        <v>Glycine</v>
      </c>
      <c r="D270" t="s">
        <v>0</v>
      </c>
      <c r="E270" t="str">
        <f t="shared" si="10"/>
        <v/>
      </c>
      <c r="G270" s="2" t="str">
        <f t="shared" si="11"/>
        <v/>
      </c>
    </row>
    <row r="271" spans="1:7" x14ac:dyDescent="0.25">
      <c r="A271" s="3" t="s">
        <v>291</v>
      </c>
      <c r="B271" t="str">
        <f t="shared" si="9"/>
        <v>PBS</v>
      </c>
      <c r="D271" t="s">
        <v>533</v>
      </c>
      <c r="E271" t="str">
        <f t="shared" si="10"/>
        <v/>
      </c>
      <c r="G271" s="2" t="str">
        <f t="shared" si="11"/>
        <v/>
      </c>
    </row>
    <row r="272" spans="1:7" x14ac:dyDescent="0.25">
      <c r="A272" s="3" t="s">
        <v>292</v>
      </c>
      <c r="B272" t="str">
        <f t="shared" si="9"/>
        <v>Glycine</v>
      </c>
      <c r="D272" t="s">
        <v>0</v>
      </c>
      <c r="E272" t="str">
        <f t="shared" si="10"/>
        <v/>
      </c>
      <c r="G272" s="2" t="str">
        <f t="shared" si="11"/>
        <v/>
      </c>
    </row>
    <row r="273" spans="1:7" x14ac:dyDescent="0.25">
      <c r="A273" s="3" t="s">
        <v>293</v>
      </c>
      <c r="B273" t="str">
        <f t="shared" si="9"/>
        <v>PBS</v>
      </c>
      <c r="D273" t="s">
        <v>533</v>
      </c>
      <c r="E273" t="str">
        <f t="shared" si="10"/>
        <v/>
      </c>
      <c r="G273" s="2" t="str">
        <f t="shared" si="11"/>
        <v/>
      </c>
    </row>
    <row r="274" spans="1:7" x14ac:dyDescent="0.25">
      <c r="A274" s="3" t="s">
        <v>294</v>
      </c>
      <c r="B274" t="str">
        <f t="shared" si="9"/>
        <v/>
      </c>
      <c r="E274" t="str">
        <f t="shared" si="10"/>
        <v/>
      </c>
      <c r="G274" s="2" t="str">
        <f t="shared" si="11"/>
        <v/>
      </c>
    </row>
    <row r="275" spans="1:7" x14ac:dyDescent="0.25">
      <c r="A275" s="3" t="s">
        <v>295</v>
      </c>
      <c r="B275" t="str">
        <f t="shared" si="9"/>
        <v/>
      </c>
      <c r="E275" t="str">
        <f t="shared" si="10"/>
        <v/>
      </c>
      <c r="G275" s="2" t="str">
        <f t="shared" si="11"/>
        <v/>
      </c>
    </row>
    <row r="276" spans="1:7" x14ac:dyDescent="0.25">
      <c r="A276" s="3" t="s">
        <v>296</v>
      </c>
      <c r="B276" t="str">
        <f t="shared" si="9"/>
        <v/>
      </c>
      <c r="E276" t="str">
        <f t="shared" si="10"/>
        <v/>
      </c>
      <c r="G276" s="2" t="str">
        <f t="shared" si="11"/>
        <v/>
      </c>
    </row>
    <row r="277" spans="1:7" x14ac:dyDescent="0.25">
      <c r="A277" s="3" t="s">
        <v>297</v>
      </c>
      <c r="B277" t="str">
        <f t="shared" si="9"/>
        <v/>
      </c>
      <c r="E277" t="str">
        <f t="shared" si="10"/>
        <v/>
      </c>
      <c r="G277" s="2" t="str">
        <f t="shared" si="11"/>
        <v/>
      </c>
    </row>
    <row r="278" spans="1:7" x14ac:dyDescent="0.25">
      <c r="A278" s="3" t="s">
        <v>298</v>
      </c>
      <c r="B278" t="str">
        <f t="shared" si="9"/>
        <v/>
      </c>
      <c r="E278" t="str">
        <f t="shared" si="10"/>
        <v/>
      </c>
      <c r="G278" s="2" t="str">
        <f t="shared" si="11"/>
        <v/>
      </c>
    </row>
    <row r="279" spans="1:7" x14ac:dyDescent="0.25">
      <c r="A279" s="3" t="s">
        <v>299</v>
      </c>
      <c r="B279" t="str">
        <f t="shared" si="9"/>
        <v/>
      </c>
      <c r="E279" t="str">
        <f t="shared" si="10"/>
        <v/>
      </c>
      <c r="G279" s="2" t="str">
        <f t="shared" si="11"/>
        <v/>
      </c>
    </row>
    <row r="280" spans="1:7" x14ac:dyDescent="0.25">
      <c r="A280" s="3" t="s">
        <v>300</v>
      </c>
      <c r="B280" t="str">
        <f t="shared" si="9"/>
        <v/>
      </c>
      <c r="E280" t="str">
        <f t="shared" si="10"/>
        <v/>
      </c>
      <c r="G280" s="2" t="str">
        <f t="shared" si="11"/>
        <v/>
      </c>
    </row>
    <row r="281" spans="1:7" x14ac:dyDescent="0.25">
      <c r="A281" s="3" t="s">
        <v>301</v>
      </c>
      <c r="B281" t="str">
        <f t="shared" si="9"/>
        <v/>
      </c>
      <c r="E281" t="str">
        <f t="shared" si="10"/>
        <v/>
      </c>
      <c r="G281" s="2" t="str">
        <f t="shared" si="11"/>
        <v/>
      </c>
    </row>
    <row r="282" spans="1:7" x14ac:dyDescent="0.25">
      <c r="A282" s="3" t="s">
        <v>302</v>
      </c>
      <c r="B282" t="str">
        <f t="shared" si="9"/>
        <v/>
      </c>
      <c r="E282" t="str">
        <f t="shared" si="10"/>
        <v/>
      </c>
      <c r="G282" s="2" t="str">
        <f t="shared" si="11"/>
        <v/>
      </c>
    </row>
    <row r="283" spans="1:7" x14ac:dyDescent="0.25">
      <c r="A283" s="3" t="s">
        <v>303</v>
      </c>
      <c r="B283" t="str">
        <f t="shared" si="9"/>
        <v/>
      </c>
      <c r="E283" t="str">
        <f t="shared" si="10"/>
        <v/>
      </c>
      <c r="G283" s="2" t="str">
        <f t="shared" si="11"/>
        <v/>
      </c>
    </row>
    <row r="284" spans="1:7" x14ac:dyDescent="0.25">
      <c r="A284" s="3" t="s">
        <v>304</v>
      </c>
      <c r="B284" t="str">
        <f t="shared" si="9"/>
        <v/>
      </c>
      <c r="E284" t="str">
        <f t="shared" si="10"/>
        <v/>
      </c>
      <c r="G284" s="2" t="str">
        <f t="shared" si="11"/>
        <v/>
      </c>
    </row>
    <row r="285" spans="1:7" x14ac:dyDescent="0.25">
      <c r="A285" s="3" t="s">
        <v>305</v>
      </c>
      <c r="B285" t="str">
        <f t="shared" si="9"/>
        <v/>
      </c>
      <c r="E285" t="str">
        <f t="shared" si="10"/>
        <v/>
      </c>
      <c r="G285" s="2" t="str">
        <f t="shared" si="11"/>
        <v/>
      </c>
    </row>
    <row r="286" spans="1:7" x14ac:dyDescent="0.25">
      <c r="A286" s="3" t="s">
        <v>306</v>
      </c>
      <c r="B286" t="str">
        <f t="shared" si="9"/>
        <v/>
      </c>
      <c r="E286" t="str">
        <f t="shared" si="10"/>
        <v/>
      </c>
      <c r="G286" s="2" t="str">
        <f t="shared" si="11"/>
        <v/>
      </c>
    </row>
    <row r="287" spans="1:7" x14ac:dyDescent="0.25">
      <c r="A287" s="3" t="s">
        <v>307</v>
      </c>
      <c r="B287" t="str">
        <f t="shared" si="9"/>
        <v/>
      </c>
      <c r="E287" t="str">
        <f t="shared" si="10"/>
        <v/>
      </c>
      <c r="G287" s="2" t="str">
        <f t="shared" si="11"/>
        <v/>
      </c>
    </row>
    <row r="288" spans="1:7" x14ac:dyDescent="0.25">
      <c r="A288" s="3" t="s">
        <v>308</v>
      </c>
      <c r="B288" t="str">
        <f t="shared" si="9"/>
        <v/>
      </c>
      <c r="E288" t="str">
        <f t="shared" si="10"/>
        <v/>
      </c>
      <c r="G288" s="2" t="str">
        <f t="shared" si="11"/>
        <v/>
      </c>
    </row>
    <row r="289" spans="1:7" x14ac:dyDescent="0.25">
      <c r="A289" s="3" t="s">
        <v>309</v>
      </c>
      <c r="B289" t="str">
        <f t="shared" si="9"/>
        <v/>
      </c>
      <c r="E289" t="str">
        <f t="shared" si="10"/>
        <v/>
      </c>
      <c r="G289" s="2" t="str">
        <f t="shared" si="11"/>
        <v/>
      </c>
    </row>
    <row r="290" spans="1:7" x14ac:dyDescent="0.25">
      <c r="A290" s="3" t="s">
        <v>310</v>
      </c>
      <c r="B290" t="str">
        <f t="shared" si="9"/>
        <v>Octet Buffer</v>
      </c>
      <c r="D290" t="s">
        <v>528</v>
      </c>
      <c r="E290" t="str">
        <f t="shared" si="10"/>
        <v/>
      </c>
      <c r="G290" s="2" t="str">
        <f t="shared" si="11"/>
        <v/>
      </c>
    </row>
    <row r="291" spans="1:7" x14ac:dyDescent="0.25">
      <c r="A291" s="3" t="s">
        <v>311</v>
      </c>
      <c r="B291" t="str">
        <f t="shared" si="9"/>
        <v>hsCD3d/e_Acro_CDD-H52W1</v>
      </c>
      <c r="D291" t="s">
        <v>529</v>
      </c>
      <c r="E291" t="str">
        <f t="shared" si="10"/>
        <v/>
      </c>
      <c r="G291" s="2">
        <f t="shared" si="11"/>
        <v>3.1249999999999999E-9</v>
      </c>
    </row>
    <row r="292" spans="1:7" x14ac:dyDescent="0.25">
      <c r="A292" s="3" t="s">
        <v>312</v>
      </c>
      <c r="B292" t="str">
        <f t="shared" si="9"/>
        <v>Octet Buffer</v>
      </c>
      <c r="D292" t="s">
        <v>528</v>
      </c>
      <c r="E292" t="str">
        <f t="shared" si="10"/>
        <v/>
      </c>
      <c r="G292" s="2" t="str">
        <f t="shared" si="11"/>
        <v/>
      </c>
    </row>
    <row r="293" spans="1:7" x14ac:dyDescent="0.25">
      <c r="A293" s="3" t="s">
        <v>313</v>
      </c>
      <c r="B293" t="str">
        <f t="shared" si="9"/>
        <v>hsCD3d/e_Acro_CDD-H52W1</v>
      </c>
      <c r="D293" t="s">
        <v>529</v>
      </c>
      <c r="E293" t="str">
        <f t="shared" si="10"/>
        <v/>
      </c>
      <c r="G293" s="2">
        <f t="shared" si="11"/>
        <v>3.1249999999999999E-9</v>
      </c>
    </row>
    <row r="294" spans="1:7" x14ac:dyDescent="0.25">
      <c r="A294" s="3" t="s">
        <v>314</v>
      </c>
      <c r="B294" t="str">
        <f t="shared" si="9"/>
        <v>SI-157C11_P5158</v>
      </c>
      <c r="D294" t="s">
        <v>530</v>
      </c>
      <c r="E294" t="str">
        <f t="shared" si="10"/>
        <v>5</v>
      </c>
      <c r="G294" s="2" t="str">
        <f t="shared" si="11"/>
        <v/>
      </c>
    </row>
    <row r="295" spans="1:7" x14ac:dyDescent="0.25">
      <c r="A295" s="3" t="s">
        <v>315</v>
      </c>
      <c r="B295" t="str">
        <f t="shared" si="9"/>
        <v>SI-157C12_P5159</v>
      </c>
      <c r="D295" t="s">
        <v>530</v>
      </c>
      <c r="E295" t="str">
        <f t="shared" si="10"/>
        <v>5</v>
      </c>
      <c r="G295" s="2" t="str">
        <f t="shared" si="11"/>
        <v/>
      </c>
    </row>
    <row r="296" spans="1:7" x14ac:dyDescent="0.25">
      <c r="A296" s="3" t="s">
        <v>316</v>
      </c>
      <c r="B296" t="str">
        <f t="shared" si="9"/>
        <v>SI-157C13_P5198</v>
      </c>
      <c r="D296" t="s">
        <v>530</v>
      </c>
      <c r="E296" t="str">
        <f t="shared" si="10"/>
        <v>5</v>
      </c>
      <c r="G296" s="2" t="str">
        <f t="shared" si="11"/>
        <v/>
      </c>
    </row>
    <row r="297" spans="1:7" x14ac:dyDescent="0.25">
      <c r="A297" s="3" t="s">
        <v>317</v>
      </c>
      <c r="B297" t="str">
        <f t="shared" si="9"/>
        <v>SI-157C14_P5199</v>
      </c>
      <c r="D297" t="s">
        <v>530</v>
      </c>
      <c r="E297" t="str">
        <f t="shared" si="10"/>
        <v>5</v>
      </c>
      <c r="G297" s="2" t="str">
        <f t="shared" si="11"/>
        <v/>
      </c>
    </row>
    <row r="298" spans="1:7" x14ac:dyDescent="0.25">
      <c r="A298" s="3" t="s">
        <v>318</v>
      </c>
      <c r="B298" t="str">
        <f t="shared" si="9"/>
        <v>SI-157C15_P5235</v>
      </c>
      <c r="D298" t="s">
        <v>530</v>
      </c>
      <c r="E298" t="str">
        <f t="shared" si="10"/>
        <v>5</v>
      </c>
      <c r="G298" s="2" t="str">
        <f t="shared" si="11"/>
        <v/>
      </c>
    </row>
    <row r="299" spans="1:7" x14ac:dyDescent="0.25">
      <c r="A299" s="3" t="s">
        <v>319</v>
      </c>
      <c r="B299" t="str">
        <f t="shared" si="9"/>
        <v>SI-157C16_P5236</v>
      </c>
      <c r="D299" t="s">
        <v>530</v>
      </c>
      <c r="E299" t="str">
        <f t="shared" si="10"/>
        <v>5</v>
      </c>
      <c r="G299" s="2" t="str">
        <f t="shared" si="11"/>
        <v/>
      </c>
    </row>
    <row r="300" spans="1:7" x14ac:dyDescent="0.25">
      <c r="A300" s="3" t="s">
        <v>320</v>
      </c>
      <c r="B300" t="str">
        <f t="shared" si="9"/>
        <v>SI-157C17_P5237</v>
      </c>
      <c r="D300" t="s">
        <v>530</v>
      </c>
      <c r="E300" t="str">
        <f t="shared" si="10"/>
        <v>5</v>
      </c>
      <c r="G300" s="2" t="str">
        <f t="shared" si="11"/>
        <v/>
      </c>
    </row>
    <row r="301" spans="1:7" x14ac:dyDescent="0.25">
      <c r="A301" s="3" t="s">
        <v>321</v>
      </c>
      <c r="B301" t="str">
        <f t="shared" si="9"/>
        <v>SI-157C18_P5317</v>
      </c>
      <c r="D301" t="s">
        <v>530</v>
      </c>
      <c r="E301" t="str">
        <f t="shared" si="10"/>
        <v>5</v>
      </c>
      <c r="G301" s="2" t="str">
        <f t="shared" si="11"/>
        <v/>
      </c>
    </row>
    <row r="302" spans="1:7" x14ac:dyDescent="0.25">
      <c r="A302" s="3" t="s">
        <v>322</v>
      </c>
      <c r="B302" t="str">
        <f t="shared" si="9"/>
        <v>SI-83X1_P5364</v>
      </c>
      <c r="D302" t="s">
        <v>530</v>
      </c>
      <c r="E302" t="str">
        <f t="shared" si="10"/>
        <v>5</v>
      </c>
      <c r="G302" s="2" t="str">
        <f t="shared" si="11"/>
        <v/>
      </c>
    </row>
    <row r="303" spans="1:7" x14ac:dyDescent="0.25">
      <c r="A303" s="3" t="s">
        <v>323</v>
      </c>
      <c r="B303" t="str">
        <f t="shared" si="9"/>
        <v>SI-157C19_P5365</v>
      </c>
      <c r="D303" t="s">
        <v>530</v>
      </c>
      <c r="E303" t="str">
        <f t="shared" si="10"/>
        <v>5</v>
      </c>
      <c r="G303" s="2" t="str">
        <f t="shared" si="11"/>
        <v/>
      </c>
    </row>
    <row r="304" spans="1:7" x14ac:dyDescent="0.25">
      <c r="A304" s="3" t="s">
        <v>324</v>
      </c>
      <c r="B304" t="str">
        <f t="shared" si="9"/>
        <v>SI-157X47_P5533</v>
      </c>
      <c r="D304" t="s">
        <v>530</v>
      </c>
      <c r="E304" t="str">
        <f t="shared" si="10"/>
        <v>5</v>
      </c>
      <c r="G304" s="2" t="str">
        <f t="shared" si="11"/>
        <v/>
      </c>
    </row>
    <row r="305" spans="1:7" x14ac:dyDescent="0.25">
      <c r="A305" s="3" t="s">
        <v>325</v>
      </c>
      <c r="B305" t="str">
        <f t="shared" si="9"/>
        <v>SI-157X56_P5534</v>
      </c>
      <c r="D305" t="s">
        <v>530</v>
      </c>
      <c r="E305" t="str">
        <f t="shared" si="10"/>
        <v>5</v>
      </c>
      <c r="G305" s="2" t="str">
        <f t="shared" si="11"/>
        <v/>
      </c>
    </row>
    <row r="306" spans="1:7" x14ac:dyDescent="0.25">
      <c r="A306" s="3" t="s">
        <v>326</v>
      </c>
      <c r="B306" t="str">
        <f t="shared" si="9"/>
        <v>SI-157X61_P5535</v>
      </c>
      <c r="D306" t="s">
        <v>530</v>
      </c>
      <c r="E306" t="str">
        <f t="shared" si="10"/>
        <v>5</v>
      </c>
      <c r="G306" s="2" t="str">
        <f t="shared" si="11"/>
        <v/>
      </c>
    </row>
    <row r="307" spans="1:7" x14ac:dyDescent="0.25">
      <c r="A307" s="3" t="s">
        <v>327</v>
      </c>
      <c r="B307" t="str">
        <f t="shared" ref="B307:B370" si="12">""&amp;$B259</f>
        <v>SI-157X62_P5536</v>
      </c>
      <c r="D307" t="s">
        <v>530</v>
      </c>
      <c r="E307" t="str">
        <f t="shared" ref="E307:E370" si="13">""&amp;$E259</f>
        <v>5</v>
      </c>
      <c r="G307" s="2" t="str">
        <f t="shared" ref="G307:G337" si="14">IF(ISNUMBER(G259),G259/2,"")</f>
        <v/>
      </c>
    </row>
    <row r="308" spans="1:7" x14ac:dyDescent="0.25">
      <c r="A308" s="3" t="s">
        <v>328</v>
      </c>
      <c r="B308" t="str">
        <f t="shared" si="12"/>
        <v>SI-157X63_P5537</v>
      </c>
      <c r="D308" t="s">
        <v>530</v>
      </c>
      <c r="E308" t="str">
        <f t="shared" si="13"/>
        <v>5</v>
      </c>
      <c r="G308" s="2" t="str">
        <f t="shared" si="14"/>
        <v/>
      </c>
    </row>
    <row r="309" spans="1:7" x14ac:dyDescent="0.25">
      <c r="A309" s="3" t="s">
        <v>329</v>
      </c>
      <c r="B309" t="str">
        <f t="shared" si="12"/>
        <v>SI-157X64_P5538</v>
      </c>
      <c r="D309" t="s">
        <v>530</v>
      </c>
      <c r="E309" t="str">
        <f t="shared" si="13"/>
        <v>5</v>
      </c>
      <c r="G309" s="2" t="str">
        <f t="shared" si="14"/>
        <v/>
      </c>
    </row>
    <row r="310" spans="1:7" x14ac:dyDescent="0.25">
      <c r="A310" s="3" t="s">
        <v>330</v>
      </c>
      <c r="B310" t="str">
        <f t="shared" si="12"/>
        <v>SI-157X49_P5563</v>
      </c>
      <c r="D310" t="s">
        <v>530</v>
      </c>
      <c r="E310" t="str">
        <f t="shared" si="13"/>
        <v>5</v>
      </c>
      <c r="G310" s="2" t="str">
        <f t="shared" si="14"/>
        <v/>
      </c>
    </row>
    <row r="311" spans="1:7" x14ac:dyDescent="0.25">
      <c r="A311" s="3" t="s">
        <v>331</v>
      </c>
      <c r="B311" t="str">
        <f t="shared" si="12"/>
        <v>SI-157X50_P5564</v>
      </c>
      <c r="D311" t="s">
        <v>530</v>
      </c>
      <c r="E311" t="str">
        <f t="shared" si="13"/>
        <v>5</v>
      </c>
      <c r="G311" s="2" t="str">
        <f t="shared" si="14"/>
        <v/>
      </c>
    </row>
    <row r="312" spans="1:7" x14ac:dyDescent="0.25">
      <c r="A312" s="3" t="s">
        <v>332</v>
      </c>
      <c r="B312" t="str">
        <f t="shared" si="12"/>
        <v>SI-157X53_P5565</v>
      </c>
      <c r="D312" t="s">
        <v>530</v>
      </c>
      <c r="E312" t="str">
        <f t="shared" si="13"/>
        <v>5</v>
      </c>
      <c r="G312" s="2" t="str">
        <f t="shared" si="14"/>
        <v/>
      </c>
    </row>
    <row r="313" spans="1:7" x14ac:dyDescent="0.25">
      <c r="A313" s="3" t="s">
        <v>333</v>
      </c>
      <c r="B313" t="str">
        <f t="shared" si="12"/>
        <v>SI-157X57_P5566</v>
      </c>
      <c r="D313" t="s">
        <v>530</v>
      </c>
      <c r="E313" t="str">
        <f t="shared" si="13"/>
        <v>5</v>
      </c>
      <c r="G313" s="2" t="str">
        <f t="shared" si="14"/>
        <v/>
      </c>
    </row>
    <row r="314" spans="1:7" x14ac:dyDescent="0.25">
      <c r="A314" s="3" t="s">
        <v>334</v>
      </c>
      <c r="B314" t="str">
        <f t="shared" si="12"/>
        <v>SI-157X65_P5567</v>
      </c>
      <c r="D314" t="s">
        <v>530</v>
      </c>
      <c r="E314" t="str">
        <f t="shared" si="13"/>
        <v>5</v>
      </c>
      <c r="G314" s="2" t="str">
        <f t="shared" si="14"/>
        <v/>
      </c>
    </row>
    <row r="315" spans="1:7" x14ac:dyDescent="0.25">
      <c r="A315" s="3" t="s">
        <v>335</v>
      </c>
      <c r="B315" t="str">
        <f t="shared" si="12"/>
        <v>SI-157X66_P5568</v>
      </c>
      <c r="D315" t="s">
        <v>530</v>
      </c>
      <c r="E315" t="str">
        <f t="shared" si="13"/>
        <v>5</v>
      </c>
      <c r="G315" s="2" t="str">
        <f t="shared" si="14"/>
        <v/>
      </c>
    </row>
    <row r="316" spans="1:7" x14ac:dyDescent="0.25">
      <c r="A316" s="3" t="s">
        <v>336</v>
      </c>
      <c r="B316" t="str">
        <f t="shared" si="12"/>
        <v>SI-157X67_P5569</v>
      </c>
      <c r="D316" t="s">
        <v>530</v>
      </c>
      <c r="E316" t="str">
        <f t="shared" si="13"/>
        <v>5</v>
      </c>
      <c r="G316" s="2" t="str">
        <f t="shared" si="14"/>
        <v/>
      </c>
    </row>
    <row r="317" spans="1:7" x14ac:dyDescent="0.25">
      <c r="A317" s="3" t="s">
        <v>337</v>
      </c>
      <c r="B317" t="str">
        <f t="shared" si="12"/>
        <v>SI-157X68_P5570</v>
      </c>
      <c r="D317" t="s">
        <v>530</v>
      </c>
      <c r="E317" t="str">
        <f t="shared" si="13"/>
        <v>5</v>
      </c>
      <c r="G317" s="2" t="str">
        <f t="shared" si="14"/>
        <v/>
      </c>
    </row>
    <row r="318" spans="1:7" x14ac:dyDescent="0.25">
      <c r="A318" s="3" t="s">
        <v>338</v>
      </c>
      <c r="B318" t="str">
        <f t="shared" si="12"/>
        <v>Glycine</v>
      </c>
      <c r="D318" t="s">
        <v>0</v>
      </c>
      <c r="E318" t="str">
        <f t="shared" si="13"/>
        <v/>
      </c>
      <c r="G318" s="2" t="str">
        <f t="shared" si="14"/>
        <v/>
      </c>
    </row>
    <row r="319" spans="1:7" x14ac:dyDescent="0.25">
      <c r="A319" s="3" t="s">
        <v>339</v>
      </c>
      <c r="B319" t="str">
        <f t="shared" si="12"/>
        <v>PBS</v>
      </c>
      <c r="D319" t="s">
        <v>533</v>
      </c>
      <c r="E319" t="str">
        <f t="shared" si="13"/>
        <v/>
      </c>
      <c r="G319" s="2" t="str">
        <f t="shared" si="14"/>
        <v/>
      </c>
    </row>
    <row r="320" spans="1:7" x14ac:dyDescent="0.25">
      <c r="A320" s="3" t="s">
        <v>340</v>
      </c>
      <c r="B320" t="str">
        <f t="shared" si="12"/>
        <v>Glycine</v>
      </c>
      <c r="D320" t="s">
        <v>0</v>
      </c>
      <c r="E320" t="str">
        <f t="shared" si="13"/>
        <v/>
      </c>
      <c r="G320" s="2" t="str">
        <f t="shared" si="14"/>
        <v/>
      </c>
    </row>
    <row r="321" spans="1:7" x14ac:dyDescent="0.25">
      <c r="A321" s="3" t="s">
        <v>341</v>
      </c>
      <c r="B321" t="str">
        <f t="shared" si="12"/>
        <v>PBS</v>
      </c>
      <c r="D321" t="s">
        <v>533</v>
      </c>
      <c r="E321" t="str">
        <f t="shared" si="13"/>
        <v/>
      </c>
      <c r="G321" s="2" t="str">
        <f t="shared" si="14"/>
        <v/>
      </c>
    </row>
    <row r="322" spans="1:7" x14ac:dyDescent="0.25">
      <c r="A322" s="3" t="s">
        <v>342</v>
      </c>
      <c r="B322" t="str">
        <f t="shared" si="12"/>
        <v/>
      </c>
      <c r="E322" t="str">
        <f t="shared" si="13"/>
        <v/>
      </c>
      <c r="G322" s="2" t="str">
        <f t="shared" si="14"/>
        <v/>
      </c>
    </row>
    <row r="323" spans="1:7" x14ac:dyDescent="0.25">
      <c r="A323" s="3" t="s">
        <v>343</v>
      </c>
      <c r="B323" t="str">
        <f t="shared" si="12"/>
        <v/>
      </c>
      <c r="E323" t="str">
        <f t="shared" si="13"/>
        <v/>
      </c>
      <c r="G323" s="2" t="str">
        <f t="shared" si="14"/>
        <v/>
      </c>
    </row>
    <row r="324" spans="1:7" x14ac:dyDescent="0.25">
      <c r="A324" s="3" t="s">
        <v>344</v>
      </c>
      <c r="B324" t="str">
        <f t="shared" si="12"/>
        <v/>
      </c>
      <c r="E324" t="str">
        <f t="shared" si="13"/>
        <v/>
      </c>
      <c r="G324" s="2" t="str">
        <f t="shared" si="14"/>
        <v/>
      </c>
    </row>
    <row r="325" spans="1:7" x14ac:dyDescent="0.25">
      <c r="A325" s="3" t="s">
        <v>345</v>
      </c>
      <c r="B325" t="str">
        <f t="shared" si="12"/>
        <v/>
      </c>
      <c r="E325" t="str">
        <f t="shared" si="13"/>
        <v/>
      </c>
      <c r="G325" s="2" t="str">
        <f t="shared" si="14"/>
        <v/>
      </c>
    </row>
    <row r="326" spans="1:7" x14ac:dyDescent="0.25">
      <c r="A326" s="3" t="s">
        <v>346</v>
      </c>
      <c r="B326" t="str">
        <f t="shared" si="12"/>
        <v/>
      </c>
      <c r="E326" t="str">
        <f t="shared" si="13"/>
        <v/>
      </c>
      <c r="G326" s="2" t="str">
        <f t="shared" si="14"/>
        <v/>
      </c>
    </row>
    <row r="327" spans="1:7" x14ac:dyDescent="0.25">
      <c r="A327" s="3" t="s">
        <v>347</v>
      </c>
      <c r="B327" t="str">
        <f t="shared" si="12"/>
        <v/>
      </c>
      <c r="E327" t="str">
        <f t="shared" si="13"/>
        <v/>
      </c>
      <c r="G327" s="2" t="str">
        <f t="shared" si="14"/>
        <v/>
      </c>
    </row>
    <row r="328" spans="1:7" x14ac:dyDescent="0.25">
      <c r="A328" s="3" t="s">
        <v>348</v>
      </c>
      <c r="B328" t="str">
        <f t="shared" si="12"/>
        <v/>
      </c>
      <c r="E328" t="str">
        <f t="shared" si="13"/>
        <v/>
      </c>
      <c r="G328" s="2" t="str">
        <f t="shared" si="14"/>
        <v/>
      </c>
    </row>
    <row r="329" spans="1:7" x14ac:dyDescent="0.25">
      <c r="A329" s="3" t="s">
        <v>349</v>
      </c>
      <c r="B329" t="str">
        <f t="shared" si="12"/>
        <v/>
      </c>
      <c r="E329" t="str">
        <f t="shared" si="13"/>
        <v/>
      </c>
      <c r="G329" s="2" t="str">
        <f t="shared" si="14"/>
        <v/>
      </c>
    </row>
    <row r="330" spans="1:7" x14ac:dyDescent="0.25">
      <c r="A330" s="3" t="s">
        <v>350</v>
      </c>
      <c r="B330" t="str">
        <f t="shared" si="12"/>
        <v/>
      </c>
      <c r="E330" t="str">
        <f t="shared" si="13"/>
        <v/>
      </c>
      <c r="G330" s="2" t="str">
        <f t="shared" si="14"/>
        <v/>
      </c>
    </row>
    <row r="331" spans="1:7" x14ac:dyDescent="0.25">
      <c r="A331" s="3" t="s">
        <v>351</v>
      </c>
      <c r="B331" t="str">
        <f t="shared" si="12"/>
        <v/>
      </c>
      <c r="E331" t="str">
        <f t="shared" si="13"/>
        <v/>
      </c>
      <c r="G331" s="2" t="str">
        <f t="shared" si="14"/>
        <v/>
      </c>
    </row>
    <row r="332" spans="1:7" x14ac:dyDescent="0.25">
      <c r="A332" s="3" t="s">
        <v>352</v>
      </c>
      <c r="B332" t="str">
        <f t="shared" si="12"/>
        <v/>
      </c>
      <c r="E332" t="str">
        <f t="shared" si="13"/>
        <v/>
      </c>
      <c r="G332" s="2" t="str">
        <f t="shared" si="14"/>
        <v/>
      </c>
    </row>
    <row r="333" spans="1:7" x14ac:dyDescent="0.25">
      <c r="A333" s="3" t="s">
        <v>353</v>
      </c>
      <c r="B333" t="str">
        <f t="shared" si="12"/>
        <v/>
      </c>
      <c r="E333" t="str">
        <f t="shared" si="13"/>
        <v/>
      </c>
      <c r="G333" s="2" t="str">
        <f t="shared" si="14"/>
        <v/>
      </c>
    </row>
    <row r="334" spans="1:7" x14ac:dyDescent="0.25">
      <c r="A334" s="3" t="s">
        <v>354</v>
      </c>
      <c r="B334" t="str">
        <f t="shared" si="12"/>
        <v/>
      </c>
      <c r="E334" t="str">
        <f t="shared" si="13"/>
        <v/>
      </c>
      <c r="G334" s="2" t="str">
        <f t="shared" si="14"/>
        <v/>
      </c>
    </row>
    <row r="335" spans="1:7" x14ac:dyDescent="0.25">
      <c r="A335" s="3" t="s">
        <v>355</v>
      </c>
      <c r="B335" t="str">
        <f t="shared" si="12"/>
        <v/>
      </c>
      <c r="E335" t="str">
        <f t="shared" si="13"/>
        <v/>
      </c>
      <c r="G335" s="2" t="str">
        <f t="shared" si="14"/>
        <v/>
      </c>
    </row>
    <row r="336" spans="1:7" x14ac:dyDescent="0.25">
      <c r="A336" s="3" t="s">
        <v>356</v>
      </c>
      <c r="B336" t="str">
        <f t="shared" si="12"/>
        <v/>
      </c>
      <c r="E336" t="str">
        <f t="shared" si="13"/>
        <v/>
      </c>
      <c r="G336" s="2" t="str">
        <f t="shared" si="14"/>
        <v/>
      </c>
    </row>
    <row r="337" spans="1:7" x14ac:dyDescent="0.25">
      <c r="A337" s="3" t="s">
        <v>357</v>
      </c>
      <c r="B337" t="str">
        <f t="shared" si="12"/>
        <v/>
      </c>
      <c r="E337" t="str">
        <f t="shared" si="13"/>
        <v/>
      </c>
      <c r="G337" s="2" t="str">
        <f t="shared" si="14"/>
        <v/>
      </c>
    </row>
    <row r="338" spans="1:7" x14ac:dyDescent="0.25">
      <c r="A338" s="3" t="s">
        <v>358</v>
      </c>
      <c r="B338" t="str">
        <f t="shared" si="12"/>
        <v>Octet Buffer</v>
      </c>
      <c r="D338" t="s">
        <v>528</v>
      </c>
      <c r="E338" t="str">
        <f t="shared" si="13"/>
        <v/>
      </c>
      <c r="G338" s="2" t="str">
        <f>IF(ISNUMBER(G290),0,"")</f>
        <v/>
      </c>
    </row>
    <row r="339" spans="1:7" x14ac:dyDescent="0.25">
      <c r="A339" s="3" t="s">
        <v>359</v>
      </c>
      <c r="B339" t="str">
        <f t="shared" si="12"/>
        <v>hsCD3d/e_Acro_CDD-H52W1</v>
      </c>
      <c r="D339" t="s">
        <v>534</v>
      </c>
      <c r="E339" t="str">
        <f t="shared" si="13"/>
        <v/>
      </c>
      <c r="G339" s="2">
        <f t="shared" ref="G339:G385" si="15">IF(ISNUMBER(G291),0,"")</f>
        <v>0</v>
      </c>
    </row>
    <row r="340" spans="1:7" x14ac:dyDescent="0.25">
      <c r="A340" s="3" t="s">
        <v>360</v>
      </c>
      <c r="B340" t="str">
        <f t="shared" si="12"/>
        <v>Octet Buffer</v>
      </c>
      <c r="D340" t="s">
        <v>528</v>
      </c>
      <c r="E340" t="str">
        <f t="shared" si="13"/>
        <v/>
      </c>
      <c r="G340" s="2" t="str">
        <f t="shared" si="15"/>
        <v/>
      </c>
    </row>
    <row r="341" spans="1:7" x14ac:dyDescent="0.25">
      <c r="A341" s="3" t="s">
        <v>361</v>
      </c>
      <c r="B341" t="str">
        <f t="shared" si="12"/>
        <v>hsCD3d/e_Acro_CDD-H52W1</v>
      </c>
      <c r="D341" t="s">
        <v>534</v>
      </c>
      <c r="E341" t="str">
        <f t="shared" si="13"/>
        <v/>
      </c>
      <c r="G341" s="2">
        <f t="shared" si="15"/>
        <v>0</v>
      </c>
    </row>
    <row r="342" spans="1:7" x14ac:dyDescent="0.25">
      <c r="A342" s="3" t="s">
        <v>362</v>
      </c>
      <c r="B342" t="str">
        <f t="shared" si="12"/>
        <v>SI-157C11_P5158</v>
      </c>
      <c r="D342" t="s">
        <v>530</v>
      </c>
      <c r="E342" t="str">
        <f t="shared" si="13"/>
        <v>5</v>
      </c>
      <c r="G342" s="2" t="str">
        <f t="shared" si="15"/>
        <v/>
      </c>
    </row>
    <row r="343" spans="1:7" x14ac:dyDescent="0.25">
      <c r="A343" s="3" t="s">
        <v>363</v>
      </c>
      <c r="B343" t="str">
        <f t="shared" si="12"/>
        <v>SI-157C12_P5159</v>
      </c>
      <c r="D343" t="s">
        <v>530</v>
      </c>
      <c r="E343" t="str">
        <f t="shared" si="13"/>
        <v>5</v>
      </c>
      <c r="G343" s="2" t="str">
        <f t="shared" si="15"/>
        <v/>
      </c>
    </row>
    <row r="344" spans="1:7" x14ac:dyDescent="0.25">
      <c r="A344" s="3" t="s">
        <v>364</v>
      </c>
      <c r="B344" t="str">
        <f t="shared" si="12"/>
        <v>SI-157C13_P5198</v>
      </c>
      <c r="D344" t="s">
        <v>530</v>
      </c>
      <c r="E344" t="str">
        <f t="shared" si="13"/>
        <v>5</v>
      </c>
      <c r="G344" s="2" t="str">
        <f t="shared" si="15"/>
        <v/>
      </c>
    </row>
    <row r="345" spans="1:7" x14ac:dyDescent="0.25">
      <c r="A345" s="3" t="s">
        <v>365</v>
      </c>
      <c r="B345" t="str">
        <f t="shared" si="12"/>
        <v>SI-157C14_P5199</v>
      </c>
      <c r="D345" t="s">
        <v>530</v>
      </c>
      <c r="E345" t="str">
        <f t="shared" si="13"/>
        <v>5</v>
      </c>
      <c r="G345" s="2" t="str">
        <f t="shared" si="15"/>
        <v/>
      </c>
    </row>
    <row r="346" spans="1:7" x14ac:dyDescent="0.25">
      <c r="A346" s="3" t="s">
        <v>366</v>
      </c>
      <c r="B346" t="str">
        <f t="shared" si="12"/>
        <v>SI-157C15_P5235</v>
      </c>
      <c r="D346" t="s">
        <v>530</v>
      </c>
      <c r="E346" t="str">
        <f t="shared" si="13"/>
        <v>5</v>
      </c>
      <c r="G346" s="2" t="str">
        <f t="shared" si="15"/>
        <v/>
      </c>
    </row>
    <row r="347" spans="1:7" x14ac:dyDescent="0.25">
      <c r="A347" s="3" t="s">
        <v>367</v>
      </c>
      <c r="B347" t="str">
        <f t="shared" si="12"/>
        <v>SI-157C16_P5236</v>
      </c>
      <c r="D347" t="s">
        <v>530</v>
      </c>
      <c r="E347" t="str">
        <f t="shared" si="13"/>
        <v>5</v>
      </c>
      <c r="G347" s="2" t="str">
        <f t="shared" si="15"/>
        <v/>
      </c>
    </row>
    <row r="348" spans="1:7" x14ac:dyDescent="0.25">
      <c r="A348" s="3" t="s">
        <v>368</v>
      </c>
      <c r="B348" t="str">
        <f t="shared" si="12"/>
        <v>SI-157C17_P5237</v>
      </c>
      <c r="D348" t="s">
        <v>530</v>
      </c>
      <c r="E348" t="str">
        <f t="shared" si="13"/>
        <v>5</v>
      </c>
      <c r="G348" s="2" t="str">
        <f t="shared" si="15"/>
        <v/>
      </c>
    </row>
    <row r="349" spans="1:7" x14ac:dyDescent="0.25">
      <c r="A349" s="3" t="s">
        <v>369</v>
      </c>
      <c r="B349" t="str">
        <f t="shared" si="12"/>
        <v>SI-157C18_P5317</v>
      </c>
      <c r="D349" t="s">
        <v>530</v>
      </c>
      <c r="E349" t="str">
        <f t="shared" si="13"/>
        <v>5</v>
      </c>
      <c r="G349" s="2" t="str">
        <f t="shared" si="15"/>
        <v/>
      </c>
    </row>
    <row r="350" spans="1:7" x14ac:dyDescent="0.25">
      <c r="A350" s="3" t="s">
        <v>370</v>
      </c>
      <c r="B350" t="str">
        <f t="shared" si="12"/>
        <v>SI-83X1_P5364</v>
      </c>
      <c r="D350" t="s">
        <v>530</v>
      </c>
      <c r="E350" t="str">
        <f t="shared" si="13"/>
        <v>5</v>
      </c>
      <c r="G350" s="2" t="str">
        <f t="shared" si="15"/>
        <v/>
      </c>
    </row>
    <row r="351" spans="1:7" x14ac:dyDescent="0.25">
      <c r="A351" s="3" t="s">
        <v>371</v>
      </c>
      <c r="B351" t="str">
        <f t="shared" si="12"/>
        <v>SI-157C19_P5365</v>
      </c>
      <c r="D351" t="s">
        <v>530</v>
      </c>
      <c r="E351" t="str">
        <f t="shared" si="13"/>
        <v>5</v>
      </c>
      <c r="G351" s="2" t="str">
        <f t="shared" si="15"/>
        <v/>
      </c>
    </row>
    <row r="352" spans="1:7" x14ac:dyDescent="0.25">
      <c r="A352" s="3" t="s">
        <v>372</v>
      </c>
      <c r="B352" t="str">
        <f t="shared" si="12"/>
        <v>SI-157X47_P5533</v>
      </c>
      <c r="D352" t="s">
        <v>530</v>
      </c>
      <c r="E352" t="str">
        <f t="shared" si="13"/>
        <v>5</v>
      </c>
      <c r="G352" s="2" t="str">
        <f t="shared" si="15"/>
        <v/>
      </c>
    </row>
    <row r="353" spans="1:7" x14ac:dyDescent="0.25">
      <c r="A353" s="3" t="s">
        <v>373</v>
      </c>
      <c r="B353" t="str">
        <f t="shared" si="12"/>
        <v>SI-157X56_P5534</v>
      </c>
      <c r="D353" t="s">
        <v>530</v>
      </c>
      <c r="E353" t="str">
        <f t="shared" si="13"/>
        <v>5</v>
      </c>
      <c r="G353" s="2" t="str">
        <f t="shared" si="15"/>
        <v/>
      </c>
    </row>
    <row r="354" spans="1:7" x14ac:dyDescent="0.25">
      <c r="A354" s="3" t="s">
        <v>374</v>
      </c>
      <c r="B354" t="str">
        <f t="shared" si="12"/>
        <v>SI-157X61_P5535</v>
      </c>
      <c r="D354" t="s">
        <v>530</v>
      </c>
      <c r="E354" t="str">
        <f t="shared" si="13"/>
        <v>5</v>
      </c>
      <c r="G354" s="2" t="str">
        <f t="shared" si="15"/>
        <v/>
      </c>
    </row>
    <row r="355" spans="1:7" x14ac:dyDescent="0.25">
      <c r="A355" s="3" t="s">
        <v>375</v>
      </c>
      <c r="B355" t="str">
        <f t="shared" si="12"/>
        <v>SI-157X62_P5536</v>
      </c>
      <c r="D355" t="s">
        <v>530</v>
      </c>
      <c r="E355" t="str">
        <f t="shared" si="13"/>
        <v>5</v>
      </c>
      <c r="G355" s="2" t="str">
        <f t="shared" si="15"/>
        <v/>
      </c>
    </row>
    <row r="356" spans="1:7" x14ac:dyDescent="0.25">
      <c r="A356" s="3" t="s">
        <v>376</v>
      </c>
      <c r="B356" t="str">
        <f t="shared" si="12"/>
        <v>SI-157X63_P5537</v>
      </c>
      <c r="D356" t="s">
        <v>530</v>
      </c>
      <c r="E356" t="str">
        <f t="shared" si="13"/>
        <v>5</v>
      </c>
      <c r="G356" s="2" t="str">
        <f t="shared" si="15"/>
        <v/>
      </c>
    </row>
    <row r="357" spans="1:7" x14ac:dyDescent="0.25">
      <c r="A357" s="3" t="s">
        <v>377</v>
      </c>
      <c r="B357" t="str">
        <f t="shared" si="12"/>
        <v>SI-157X64_P5538</v>
      </c>
      <c r="D357" t="s">
        <v>530</v>
      </c>
      <c r="E357" t="str">
        <f t="shared" si="13"/>
        <v>5</v>
      </c>
      <c r="G357" s="2" t="str">
        <f t="shared" si="15"/>
        <v/>
      </c>
    </row>
    <row r="358" spans="1:7" x14ac:dyDescent="0.25">
      <c r="A358" s="3" t="s">
        <v>378</v>
      </c>
      <c r="B358" t="str">
        <f t="shared" si="12"/>
        <v>SI-157X49_P5563</v>
      </c>
      <c r="D358" t="s">
        <v>530</v>
      </c>
      <c r="E358" t="str">
        <f t="shared" si="13"/>
        <v>5</v>
      </c>
      <c r="G358" s="2" t="str">
        <f t="shared" si="15"/>
        <v/>
      </c>
    </row>
    <row r="359" spans="1:7" x14ac:dyDescent="0.25">
      <c r="A359" s="3" t="s">
        <v>379</v>
      </c>
      <c r="B359" t="str">
        <f t="shared" si="12"/>
        <v>SI-157X50_P5564</v>
      </c>
      <c r="D359" t="s">
        <v>530</v>
      </c>
      <c r="E359" t="str">
        <f t="shared" si="13"/>
        <v>5</v>
      </c>
      <c r="G359" s="2" t="str">
        <f t="shared" si="15"/>
        <v/>
      </c>
    </row>
    <row r="360" spans="1:7" x14ac:dyDescent="0.25">
      <c r="A360" s="3" t="s">
        <v>380</v>
      </c>
      <c r="B360" t="str">
        <f t="shared" si="12"/>
        <v>SI-157X53_P5565</v>
      </c>
      <c r="D360" t="s">
        <v>530</v>
      </c>
      <c r="E360" t="str">
        <f t="shared" si="13"/>
        <v>5</v>
      </c>
      <c r="G360" s="2" t="str">
        <f t="shared" si="15"/>
        <v/>
      </c>
    </row>
    <row r="361" spans="1:7" x14ac:dyDescent="0.25">
      <c r="A361" s="3" t="s">
        <v>381</v>
      </c>
      <c r="B361" t="str">
        <f t="shared" si="12"/>
        <v>SI-157X57_P5566</v>
      </c>
      <c r="D361" t="s">
        <v>530</v>
      </c>
      <c r="E361" t="str">
        <f t="shared" si="13"/>
        <v>5</v>
      </c>
      <c r="G361" s="2" t="str">
        <f t="shared" si="15"/>
        <v/>
      </c>
    </row>
    <row r="362" spans="1:7" x14ac:dyDescent="0.25">
      <c r="A362" s="3" t="s">
        <v>382</v>
      </c>
      <c r="B362" t="str">
        <f t="shared" si="12"/>
        <v>SI-157X65_P5567</v>
      </c>
      <c r="D362" t="s">
        <v>530</v>
      </c>
      <c r="E362" t="str">
        <f t="shared" si="13"/>
        <v>5</v>
      </c>
      <c r="G362" s="2" t="str">
        <f t="shared" si="15"/>
        <v/>
      </c>
    </row>
    <row r="363" spans="1:7" x14ac:dyDescent="0.25">
      <c r="A363" s="3" t="s">
        <v>383</v>
      </c>
      <c r="B363" t="str">
        <f t="shared" si="12"/>
        <v>SI-157X66_P5568</v>
      </c>
      <c r="D363" t="s">
        <v>530</v>
      </c>
      <c r="E363" t="str">
        <f t="shared" si="13"/>
        <v>5</v>
      </c>
      <c r="G363" s="2" t="str">
        <f t="shared" si="15"/>
        <v/>
      </c>
    </row>
    <row r="364" spans="1:7" x14ac:dyDescent="0.25">
      <c r="A364" s="3" t="s">
        <v>384</v>
      </c>
      <c r="B364" t="str">
        <f t="shared" si="12"/>
        <v>SI-157X67_P5569</v>
      </c>
      <c r="D364" t="s">
        <v>530</v>
      </c>
      <c r="E364" t="str">
        <f t="shared" si="13"/>
        <v>5</v>
      </c>
      <c r="G364" s="2" t="str">
        <f t="shared" si="15"/>
        <v/>
      </c>
    </row>
    <row r="365" spans="1:7" x14ac:dyDescent="0.25">
      <c r="A365" s="3" t="s">
        <v>385</v>
      </c>
      <c r="B365" t="str">
        <f t="shared" si="12"/>
        <v>SI-157X68_P5570</v>
      </c>
      <c r="D365" t="s">
        <v>530</v>
      </c>
      <c r="E365" t="str">
        <f t="shared" si="13"/>
        <v>5</v>
      </c>
      <c r="G365" s="2" t="str">
        <f t="shared" si="15"/>
        <v/>
      </c>
    </row>
    <row r="366" spans="1:7" x14ac:dyDescent="0.25">
      <c r="A366" s="3" t="s">
        <v>386</v>
      </c>
      <c r="B366" t="str">
        <f t="shared" si="12"/>
        <v>Glycine</v>
      </c>
      <c r="D366" t="s">
        <v>0</v>
      </c>
      <c r="E366" t="str">
        <f t="shared" si="13"/>
        <v/>
      </c>
      <c r="G366" t="str">
        <f t="shared" si="15"/>
        <v/>
      </c>
    </row>
    <row r="367" spans="1:7" x14ac:dyDescent="0.25">
      <c r="A367" s="3" t="s">
        <v>387</v>
      </c>
      <c r="B367" t="str">
        <f t="shared" si="12"/>
        <v>PBS</v>
      </c>
      <c r="D367" t="s">
        <v>533</v>
      </c>
      <c r="E367" t="str">
        <f t="shared" si="13"/>
        <v/>
      </c>
      <c r="G367" t="str">
        <f t="shared" si="15"/>
        <v/>
      </c>
    </row>
    <row r="368" spans="1:7" x14ac:dyDescent="0.25">
      <c r="A368" s="3" t="s">
        <v>388</v>
      </c>
      <c r="B368" t="str">
        <f t="shared" si="12"/>
        <v>Glycine</v>
      </c>
      <c r="D368" t="s">
        <v>0</v>
      </c>
      <c r="E368" t="str">
        <f t="shared" si="13"/>
        <v/>
      </c>
      <c r="G368" t="str">
        <f t="shared" si="15"/>
        <v/>
      </c>
    </row>
    <row r="369" spans="1:7" x14ac:dyDescent="0.25">
      <c r="A369" s="3" t="s">
        <v>389</v>
      </c>
      <c r="B369" t="str">
        <f t="shared" si="12"/>
        <v>PBS</v>
      </c>
      <c r="D369" t="s">
        <v>533</v>
      </c>
      <c r="E369" t="str">
        <f t="shared" si="13"/>
        <v/>
      </c>
      <c r="G369" t="str">
        <f t="shared" si="15"/>
        <v/>
      </c>
    </row>
    <row r="370" spans="1:7" x14ac:dyDescent="0.25">
      <c r="A370" s="3" t="s">
        <v>390</v>
      </c>
      <c r="B370" t="str">
        <f t="shared" si="12"/>
        <v/>
      </c>
      <c r="E370" t="str">
        <f t="shared" si="13"/>
        <v/>
      </c>
      <c r="G370" t="str">
        <f t="shared" si="15"/>
        <v/>
      </c>
    </row>
    <row r="371" spans="1:7" x14ac:dyDescent="0.25">
      <c r="A371" s="3" t="s">
        <v>391</v>
      </c>
      <c r="B371" t="str">
        <f t="shared" ref="B371:B385" si="16">""&amp;$B323</f>
        <v/>
      </c>
      <c r="E371" t="str">
        <f t="shared" ref="E371:E385" si="17">""&amp;$E323</f>
        <v/>
      </c>
      <c r="G371" t="str">
        <f t="shared" si="15"/>
        <v/>
      </c>
    </row>
    <row r="372" spans="1:7" x14ac:dyDescent="0.25">
      <c r="A372" s="3" t="s">
        <v>392</v>
      </c>
      <c r="B372" t="str">
        <f t="shared" si="16"/>
        <v/>
      </c>
      <c r="E372" t="str">
        <f t="shared" si="17"/>
        <v/>
      </c>
      <c r="G372" t="str">
        <f t="shared" si="15"/>
        <v/>
      </c>
    </row>
    <row r="373" spans="1:7" x14ac:dyDescent="0.25">
      <c r="A373" s="3" t="s">
        <v>393</v>
      </c>
      <c r="B373" t="str">
        <f t="shared" si="16"/>
        <v/>
      </c>
      <c r="E373" t="str">
        <f t="shared" si="17"/>
        <v/>
      </c>
      <c r="G373" t="str">
        <f t="shared" si="15"/>
        <v/>
      </c>
    </row>
    <row r="374" spans="1:7" x14ac:dyDescent="0.25">
      <c r="A374" s="3" t="s">
        <v>394</v>
      </c>
      <c r="B374" t="str">
        <f t="shared" si="16"/>
        <v/>
      </c>
      <c r="E374" t="str">
        <f t="shared" si="17"/>
        <v/>
      </c>
      <c r="G374" t="str">
        <f t="shared" si="15"/>
        <v/>
      </c>
    </row>
    <row r="375" spans="1:7" x14ac:dyDescent="0.25">
      <c r="A375" s="3" t="s">
        <v>395</v>
      </c>
      <c r="B375" t="str">
        <f t="shared" si="16"/>
        <v/>
      </c>
      <c r="E375" t="str">
        <f t="shared" si="17"/>
        <v/>
      </c>
      <c r="G375" t="str">
        <f t="shared" si="15"/>
        <v/>
      </c>
    </row>
    <row r="376" spans="1:7" x14ac:dyDescent="0.25">
      <c r="A376" s="3" t="s">
        <v>396</v>
      </c>
      <c r="B376" t="str">
        <f t="shared" si="16"/>
        <v/>
      </c>
      <c r="E376" t="str">
        <f t="shared" si="17"/>
        <v/>
      </c>
      <c r="G376" t="str">
        <f t="shared" si="15"/>
        <v/>
      </c>
    </row>
    <row r="377" spans="1:7" x14ac:dyDescent="0.25">
      <c r="A377" s="3" t="s">
        <v>397</v>
      </c>
      <c r="B377" t="str">
        <f t="shared" si="16"/>
        <v/>
      </c>
      <c r="E377" t="str">
        <f t="shared" si="17"/>
        <v/>
      </c>
      <c r="G377" t="str">
        <f t="shared" si="15"/>
        <v/>
      </c>
    </row>
    <row r="378" spans="1:7" x14ac:dyDescent="0.25">
      <c r="A378" s="3" t="s">
        <v>398</v>
      </c>
      <c r="B378" t="str">
        <f t="shared" si="16"/>
        <v/>
      </c>
      <c r="E378" t="str">
        <f t="shared" si="17"/>
        <v/>
      </c>
      <c r="G378" t="str">
        <f t="shared" si="15"/>
        <v/>
      </c>
    </row>
    <row r="379" spans="1:7" x14ac:dyDescent="0.25">
      <c r="A379" s="3" t="s">
        <v>399</v>
      </c>
      <c r="B379" t="str">
        <f t="shared" si="16"/>
        <v/>
      </c>
      <c r="E379" t="str">
        <f t="shared" si="17"/>
        <v/>
      </c>
      <c r="G379" t="str">
        <f t="shared" si="15"/>
        <v/>
      </c>
    </row>
    <row r="380" spans="1:7" x14ac:dyDescent="0.25">
      <c r="A380" s="3" t="s">
        <v>400</v>
      </c>
      <c r="B380" t="str">
        <f t="shared" si="16"/>
        <v/>
      </c>
      <c r="E380" t="str">
        <f t="shared" si="17"/>
        <v/>
      </c>
      <c r="G380" t="str">
        <f t="shared" si="15"/>
        <v/>
      </c>
    </row>
    <row r="381" spans="1:7" x14ac:dyDescent="0.25">
      <c r="A381" s="3" t="s">
        <v>401</v>
      </c>
      <c r="B381" t="str">
        <f t="shared" si="16"/>
        <v/>
      </c>
      <c r="E381" t="str">
        <f t="shared" si="17"/>
        <v/>
      </c>
      <c r="G381" t="str">
        <f t="shared" si="15"/>
        <v/>
      </c>
    </row>
    <row r="382" spans="1:7" x14ac:dyDescent="0.25">
      <c r="A382" s="3" t="s">
        <v>402</v>
      </c>
      <c r="B382" t="str">
        <f t="shared" si="16"/>
        <v/>
      </c>
      <c r="E382" t="str">
        <f t="shared" si="17"/>
        <v/>
      </c>
      <c r="G382" t="str">
        <f t="shared" si="15"/>
        <v/>
      </c>
    </row>
    <row r="383" spans="1:7" x14ac:dyDescent="0.25">
      <c r="A383" s="3" t="s">
        <v>403</v>
      </c>
      <c r="B383" t="str">
        <f t="shared" si="16"/>
        <v/>
      </c>
      <c r="E383" t="str">
        <f t="shared" si="17"/>
        <v/>
      </c>
      <c r="G383" t="str">
        <f t="shared" si="15"/>
        <v/>
      </c>
    </row>
    <row r="384" spans="1:7" x14ac:dyDescent="0.25">
      <c r="A384" s="3" t="s">
        <v>404</v>
      </c>
      <c r="B384" t="str">
        <f t="shared" si="16"/>
        <v/>
      </c>
      <c r="E384" t="str">
        <f t="shared" si="17"/>
        <v/>
      </c>
      <c r="G384" t="str">
        <f t="shared" si="15"/>
        <v/>
      </c>
    </row>
    <row r="385" spans="1:7" x14ac:dyDescent="0.25">
      <c r="A385" s="3" t="s">
        <v>405</v>
      </c>
      <c r="B385" t="str">
        <f t="shared" si="16"/>
        <v/>
      </c>
      <c r="E385" t="str">
        <f t="shared" si="17"/>
        <v/>
      </c>
      <c r="G385" t="str">
        <f t="shared" si="15"/>
        <v/>
      </c>
    </row>
  </sheetData>
  <dataValidations count="1">
    <dataValidation type="list" allowBlank="1" showInputMessage="1" showErrorMessage="1" errorTitle="Incorrect Well Type" error="Acceptable well types: Buffer, Load, Sample, Reference, Regeneration, Neutralization" promptTitle="Input Well Type" prompt="Acceptable well types: Buffer, Load, Sample, Reference, Regeneration, Neutralization" sqref="D2:D385" xr:uid="{5D121AF0-7AB0-4FB8-9314-C9C921BA7476}">
      <formula1>"Buffer, Load, Sample, Reference, Regeneration, Neutralization"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CAA2B-8989-4002-A655-C2172CF4925A}">
  <dimension ref="A1:Y18"/>
  <sheetViews>
    <sheetView zoomScale="80" zoomScaleNormal="80" workbookViewId="0">
      <selection activeCell="B3" sqref="B3"/>
    </sheetView>
  </sheetViews>
  <sheetFormatPr defaultRowHeight="15" x14ac:dyDescent="0.25"/>
  <cols>
    <col min="2" max="25" width="10" customWidth="1"/>
  </cols>
  <sheetData>
    <row r="1" spans="1:25" ht="15.75" x14ac:dyDescent="0.25">
      <c r="A1" s="4" t="s">
        <v>431</v>
      </c>
      <c r="F1" s="4" t="s">
        <v>432</v>
      </c>
      <c r="J1" s="4" t="s">
        <v>433</v>
      </c>
    </row>
    <row r="2" spans="1:25" x14ac:dyDescent="0.25">
      <c r="B2" s="18">
        <v>1</v>
      </c>
      <c r="C2" s="18">
        <v>2</v>
      </c>
      <c r="D2" s="18">
        <v>3</v>
      </c>
      <c r="E2" s="18">
        <v>4</v>
      </c>
      <c r="F2" s="18">
        <v>5</v>
      </c>
      <c r="G2" s="18">
        <v>6</v>
      </c>
      <c r="H2" s="18">
        <v>7</v>
      </c>
      <c r="I2" s="18">
        <v>8</v>
      </c>
      <c r="J2" s="18">
        <v>9</v>
      </c>
      <c r="K2" s="18">
        <v>10</v>
      </c>
      <c r="L2" s="18">
        <v>11</v>
      </c>
      <c r="M2" s="18">
        <v>12</v>
      </c>
      <c r="N2" s="18">
        <v>13</v>
      </c>
      <c r="O2" s="18">
        <v>14</v>
      </c>
      <c r="P2" s="18">
        <v>15</v>
      </c>
      <c r="Q2" s="18">
        <v>16</v>
      </c>
      <c r="R2" s="18">
        <v>17</v>
      </c>
      <c r="S2" s="18">
        <v>18</v>
      </c>
      <c r="T2" s="18">
        <v>19</v>
      </c>
      <c r="U2" s="18">
        <v>20</v>
      </c>
      <c r="V2" s="18">
        <v>21</v>
      </c>
      <c r="W2" s="18">
        <v>22</v>
      </c>
      <c r="X2" s="18">
        <v>23</v>
      </c>
      <c r="Y2" s="18">
        <v>24</v>
      </c>
    </row>
    <row r="3" spans="1:25" ht="44.25" customHeight="1" x14ac:dyDescent="0.25">
      <c r="A3" s="19" t="s">
        <v>434</v>
      </c>
      <c r="B3" s="20" t="str" cm="1">
        <f t="array" aca="1" ref="B3" ca="1">IF(INDIRECT("SamplePlate1!B" &amp; (B$2 + 1+(0*24)))="","",INDIRECT("SamplePlate1!B" &amp; (B$2 + 1+(0*24))))</f>
        <v>Octet Buffer</v>
      </c>
      <c r="C3" s="20" t="str" cm="1">
        <f t="array" aca="1" ref="C3" ca="1">IF(INDIRECT("SamplePlate1!B" &amp; (C$2 + 1+(0*24)))="","",INDIRECT("SamplePlate1!B" &amp; (C$2 + 1+(0*24))))</f>
        <v>hsCD3d/e_Acro_CDD-H52W1</v>
      </c>
      <c r="D3" s="20" t="str" cm="1">
        <f t="array" aca="1" ref="D3" ca="1">IF(INDIRECT("SamplePlate1!B" &amp; (D$2 + 1+(0*24)))="","",INDIRECT("SamplePlate1!B" &amp; (D$2 + 1+(0*24))))</f>
        <v>Octet Buffer</v>
      </c>
      <c r="E3" s="20" t="str" cm="1">
        <f t="array" aca="1" ref="E3" ca="1">IF(INDIRECT("SamplePlate1!B" &amp; (E$2 + 1+(0*24)))="","",INDIRECT("SamplePlate1!B" &amp; (E$2 + 1+(0*24))))</f>
        <v>hsCD3d/e_Acro_CDD-H52W1</v>
      </c>
      <c r="F3" s="20" t="str" cm="1">
        <f t="array" aca="1" ref="F3" ca="1">IF(INDIRECT("SamplePlate1!B" &amp; (F$2 + 1+(0*24)))="","",INDIRECT("SamplePlate1!B" &amp; (F$2 + 1+(0*24))))</f>
        <v>SI-157C11_P5158</v>
      </c>
      <c r="G3" s="20" t="str" cm="1">
        <f t="array" aca="1" ref="G3" ca="1">IF(INDIRECT("SamplePlate1!B" &amp; (G$2 + 1+(0*24)))="","",INDIRECT("SamplePlate1!B" &amp; (G$2 + 1+(0*24))))</f>
        <v>SI-157C12_P5159</v>
      </c>
      <c r="H3" s="20" t="str" cm="1">
        <f t="array" aca="1" ref="H3" ca="1">IF(INDIRECT("SamplePlate1!B" &amp; (H$2 + 1+(0*24)))="","",INDIRECT("SamplePlate1!B" &amp; (H$2 + 1+(0*24))))</f>
        <v>SI-157C13_P5198</v>
      </c>
      <c r="I3" s="20" t="str" cm="1">
        <f t="array" aca="1" ref="I3" ca="1">IF(INDIRECT("SamplePlate1!B" &amp; (I$2 + 1+(0*24)))="","",INDIRECT("SamplePlate1!B" &amp; (I$2 + 1+(0*24))))</f>
        <v>SI-157C14_P5199</v>
      </c>
      <c r="J3" s="20" t="str" cm="1">
        <f t="array" aca="1" ref="J3" ca="1">IF(INDIRECT("SamplePlate1!B" &amp; (J$2 + 1+(0*24)))="","",INDIRECT("SamplePlate1!B" &amp; (J$2 + 1+(0*24))))</f>
        <v>SI-157C15_P5235</v>
      </c>
      <c r="K3" s="20" t="str" cm="1">
        <f t="array" aca="1" ref="K3" ca="1">IF(INDIRECT("SamplePlate1!B" &amp; (K$2 + 1+(0*24)))="","",INDIRECT("SamplePlate1!B" &amp; (K$2 + 1+(0*24))))</f>
        <v>SI-157C16_P5236</v>
      </c>
      <c r="L3" s="20" t="str" cm="1">
        <f t="array" aca="1" ref="L3" ca="1">IF(INDIRECT("SamplePlate1!B" &amp; (L$2 + 1+(0*24)))="","",INDIRECT("SamplePlate1!B" &amp; (L$2 + 1+(0*24))))</f>
        <v>SI-157C17_P5237</v>
      </c>
      <c r="M3" s="20" t="str" cm="1">
        <f t="array" aca="1" ref="M3" ca="1">IF(INDIRECT("SamplePlate1!B" &amp; (M$2 + 1+(0*24)))="","",INDIRECT("SamplePlate1!B" &amp; (M$2 + 1+(0*24))))</f>
        <v>SI-157C18_P5317</v>
      </c>
      <c r="N3" s="20" t="str" cm="1">
        <f t="array" aca="1" ref="N3" ca="1">IF(INDIRECT("SamplePlate1!B" &amp; (N$2 + 1+(0*24)))="","",INDIRECT("SamplePlate1!B" &amp; (N$2 + 1+(0*24))))</f>
        <v>SI-83X1_P5364</v>
      </c>
      <c r="O3" s="20" t="str" cm="1">
        <f t="array" aca="1" ref="O3" ca="1">IF(INDIRECT("SamplePlate1!B" &amp; (O$2 + 1+(0*24)))="","",INDIRECT("SamplePlate1!B" &amp; (O$2 + 1+(0*24))))</f>
        <v>SI-157C19_P5365</v>
      </c>
      <c r="P3" s="20" t="str" cm="1">
        <f t="array" aca="1" ref="P3" ca="1">IF(INDIRECT("SamplePlate1!B" &amp; (P$2 + 1+(0*24)))="","",INDIRECT("SamplePlate1!B" &amp; (P$2 + 1+(0*24))))</f>
        <v>SI-157X47_P5533</v>
      </c>
      <c r="Q3" s="20" t="str" cm="1">
        <f t="array" aca="1" ref="Q3" ca="1">IF(INDIRECT("SamplePlate1!B" &amp; (Q$2 + 1+(0*24)))="","",INDIRECT("SamplePlate1!B" &amp; (Q$2 + 1+(0*24))))</f>
        <v>SI-157X56_P5534</v>
      </c>
      <c r="R3" s="20" t="str" cm="1">
        <f t="array" aca="1" ref="R3" ca="1">IF(INDIRECT("SamplePlate1!B" &amp; (R$2 + 1+(0*24)))="","",INDIRECT("SamplePlate1!B" &amp; (R$2 + 1+(0*24))))</f>
        <v>SI-157X61_P5535</v>
      </c>
      <c r="S3" s="20" t="str" cm="1">
        <f t="array" aca="1" ref="S3" ca="1">IF(INDIRECT("SamplePlate1!B" &amp; (S$2 + 1+(0*24)))="","",INDIRECT("SamplePlate1!B" &amp; (S$2 + 1+(0*24))))</f>
        <v>SI-157X62_P5536</v>
      </c>
      <c r="T3" s="20" t="str" cm="1">
        <f t="array" aca="1" ref="T3" ca="1">IF(INDIRECT("SamplePlate1!B" &amp; (T$2 + 1+(0*24)))="","",INDIRECT("SamplePlate1!B" &amp; (T$2 + 1+(0*24))))</f>
        <v>SI-157X63_P5537</v>
      </c>
      <c r="U3" s="20" t="str" cm="1">
        <f t="array" aca="1" ref="U3" ca="1">IF(INDIRECT("SamplePlate1!B" &amp; (U$2 + 1+(0*24)))="","",INDIRECT("SamplePlate1!B" &amp; (U$2 + 1+(0*24))))</f>
        <v>SI-157X64_P5538</v>
      </c>
      <c r="V3" s="20" t="str" cm="1">
        <f t="array" aca="1" ref="V3" ca="1">IF(INDIRECT("SamplePlate1!B" &amp; (V$2 + 1+(0*24)))="","",INDIRECT("SamplePlate1!B" &amp; (V$2 + 1+(0*24))))</f>
        <v>SI-157X49_P5563</v>
      </c>
      <c r="W3" s="20" t="str" cm="1">
        <f t="array" aca="1" ref="W3" ca="1">IF(INDIRECT("SamplePlate1!B" &amp; (W$2 + 1+(0*24)))="","",INDIRECT("SamplePlate1!B" &amp; (W$2 + 1+(0*24))))</f>
        <v>SI-157X50_P5564</v>
      </c>
      <c r="X3" s="20" t="str" cm="1">
        <f t="array" aca="1" ref="X3" ca="1">IF(INDIRECT("SamplePlate1!B" &amp; (X$2 + 1+(0*24)))="","",INDIRECT("SamplePlate1!B" &amp; (X$2 + 1+(0*24))))</f>
        <v>SI-157X53_P5565</v>
      </c>
      <c r="Y3" s="20" t="str" cm="1">
        <f t="array" aca="1" ref="Y3" ca="1">IF(INDIRECT("SamplePlate1!B" &amp; (Y$2 + 1+(0*24)))="","",INDIRECT("SamplePlate1!B" &amp; (Y$2 + 1+(0*24))))</f>
        <v>SI-157X57_P5566</v>
      </c>
    </row>
    <row r="4" spans="1:25" ht="44.25" customHeight="1" x14ac:dyDescent="0.25">
      <c r="A4" s="19" t="s">
        <v>435</v>
      </c>
      <c r="B4" s="20" t="str" cm="1">
        <f t="array" aca="1" ref="B4" ca="1">IF(INDIRECT("SamplePlate1!B" &amp; (B$2 + 1+(1*24)))="","",INDIRECT("SamplePlate1!B" &amp; (B$2 + 1+(1*24))))</f>
        <v>SI-157X65_P5567</v>
      </c>
      <c r="C4" s="20" t="str" cm="1">
        <f t="array" aca="1" ref="C4" ca="1">IF(INDIRECT("SamplePlate1!B" &amp; (C$2 + 1+(1*24)))="","",INDIRECT("SamplePlate1!B" &amp; (C$2 + 1+(1*24))))</f>
        <v>SI-157X66_P5568</v>
      </c>
      <c r="D4" s="20" t="str" cm="1">
        <f t="array" aca="1" ref="D4" ca="1">IF(INDIRECT("SamplePlate1!B" &amp; (D$2 + 1+(1*24)))="","",INDIRECT("SamplePlate1!B" &amp; (D$2 + 1+(1*24))))</f>
        <v>SI-157X67_P5569</v>
      </c>
      <c r="E4" s="20" t="str" cm="1">
        <f t="array" aca="1" ref="E4" ca="1">IF(INDIRECT("SamplePlate1!B" &amp; (E$2 + 1+(1*24)))="","",INDIRECT("SamplePlate1!B" &amp; (E$2 + 1+(1*24))))</f>
        <v>SI-157X68_P5570</v>
      </c>
      <c r="F4" s="20" t="str" cm="1">
        <f t="array" aca="1" ref="F4" ca="1">IF(INDIRECT("SamplePlate1!B" &amp; (F$2 + 1+(1*24)))="","",INDIRECT("SamplePlate1!B" &amp; (F$2 + 1+(1*24))))</f>
        <v>Glycine</v>
      </c>
      <c r="G4" s="20" t="str" cm="1">
        <f t="array" aca="1" ref="G4" ca="1">IF(INDIRECT("SamplePlate1!B" &amp; (G$2 + 1+(1*24)))="","",INDIRECT("SamplePlate1!B" &amp; (G$2 + 1+(1*24))))</f>
        <v>PBS</v>
      </c>
      <c r="H4" s="20" t="str" cm="1">
        <f t="array" aca="1" ref="H4" ca="1">IF(INDIRECT("SamplePlate1!B" &amp; (H$2 + 1+(1*24)))="","",INDIRECT("SamplePlate1!B" &amp; (H$2 + 1+(1*24))))</f>
        <v>Glycine</v>
      </c>
      <c r="I4" s="20" t="str" cm="1">
        <f t="array" aca="1" ref="I4" ca="1">IF(INDIRECT("SamplePlate1!B" &amp; (I$2 + 1+(1*24)))="","",INDIRECT("SamplePlate1!B" &amp; (I$2 + 1+(1*24))))</f>
        <v>PBS</v>
      </c>
      <c r="J4" s="20" t="str" cm="1">
        <f t="array" aca="1" ref="J4" ca="1">IF(INDIRECT("SamplePlate1!B" &amp; (J$2 + 1+(1*24)))="","",INDIRECT("SamplePlate1!B" &amp; (J$2 + 1+(1*24))))</f>
        <v/>
      </c>
      <c r="K4" s="20" t="str" cm="1">
        <f t="array" aca="1" ref="K4" ca="1">IF(INDIRECT("SamplePlate1!B" &amp; (K$2 + 1+(1*24)))="","",INDIRECT("SamplePlate1!B" &amp; (K$2 + 1+(1*24))))</f>
        <v/>
      </c>
      <c r="L4" s="20" t="str" cm="1">
        <f t="array" aca="1" ref="L4" ca="1">IF(INDIRECT("SamplePlate1!B" &amp; (L$2 + 1+(1*24)))="","",INDIRECT("SamplePlate1!B" &amp; (L$2 + 1+(1*24))))</f>
        <v/>
      </c>
      <c r="M4" s="20" t="str" cm="1">
        <f t="array" aca="1" ref="M4" ca="1">IF(INDIRECT("SamplePlate1!B" &amp; (M$2 + 1+(1*24)))="","",INDIRECT("SamplePlate1!B" &amp; (M$2 + 1+(1*24))))</f>
        <v/>
      </c>
      <c r="N4" s="20" t="str" cm="1">
        <f t="array" aca="1" ref="N4" ca="1">IF(INDIRECT("SamplePlate1!B" &amp; (N$2 + 1+(1*24)))="","",INDIRECT("SamplePlate1!B" &amp; (N$2 + 1+(1*24))))</f>
        <v/>
      </c>
      <c r="O4" s="20" t="str" cm="1">
        <f t="array" aca="1" ref="O4" ca="1">IF(INDIRECT("SamplePlate1!B" &amp; (O$2 + 1+(1*24)))="","",INDIRECT("SamplePlate1!B" &amp; (O$2 + 1+(1*24))))</f>
        <v/>
      </c>
      <c r="P4" s="20" t="str" cm="1">
        <f t="array" aca="1" ref="P4" ca="1">IF(INDIRECT("SamplePlate1!B" &amp; (P$2 + 1+(1*24)))="","",INDIRECT("SamplePlate1!B" &amp; (P$2 + 1+(1*24))))</f>
        <v/>
      </c>
      <c r="Q4" s="20" t="str" cm="1">
        <f t="array" aca="1" ref="Q4" ca="1">IF(INDIRECT("SamplePlate1!B" &amp; (Q$2 + 1+(1*24)))="","",INDIRECT("SamplePlate1!B" &amp; (Q$2 + 1+(1*24))))</f>
        <v/>
      </c>
      <c r="R4" s="20" t="str" cm="1">
        <f t="array" aca="1" ref="R4" ca="1">IF(INDIRECT("SamplePlate1!B" &amp; (R$2 + 1+(1*24)))="","",INDIRECT("SamplePlate1!B" &amp; (R$2 + 1+(1*24))))</f>
        <v/>
      </c>
      <c r="S4" s="20" t="str" cm="1">
        <f t="array" aca="1" ref="S4" ca="1">IF(INDIRECT("SamplePlate1!B" &amp; (S$2 + 1+(1*24)))="","",INDIRECT("SamplePlate1!B" &amp; (S$2 + 1+(1*24))))</f>
        <v/>
      </c>
      <c r="T4" s="20" t="str" cm="1">
        <f t="array" aca="1" ref="T4" ca="1">IF(INDIRECT("SamplePlate1!B" &amp; (T$2 + 1+(1*24)))="","",INDIRECT("SamplePlate1!B" &amp; (T$2 + 1+(1*24))))</f>
        <v/>
      </c>
      <c r="U4" s="20" t="str" cm="1">
        <f t="array" aca="1" ref="U4" ca="1">IF(INDIRECT("SamplePlate1!B" &amp; (U$2 + 1+(1*24)))="","",INDIRECT("SamplePlate1!B" &amp; (U$2 + 1+(1*24))))</f>
        <v/>
      </c>
      <c r="V4" s="20" t="str" cm="1">
        <f t="array" aca="1" ref="V4" ca="1">IF(INDIRECT("SamplePlate1!B" &amp; (V$2 + 1+(1*24)))="","",INDIRECT("SamplePlate1!B" &amp; (V$2 + 1+(1*24))))</f>
        <v/>
      </c>
      <c r="W4" s="20" t="str" cm="1">
        <f t="array" aca="1" ref="W4" ca="1">IF(INDIRECT("SamplePlate1!B" &amp; (W$2 + 1+(1*24)))="","",INDIRECT("SamplePlate1!B" &amp; (W$2 + 1+(1*24))))</f>
        <v/>
      </c>
      <c r="X4" s="20" t="str" cm="1">
        <f t="array" aca="1" ref="X4" ca="1">IF(INDIRECT("SamplePlate1!B" &amp; (X$2 + 1+(1*24)))="","",INDIRECT("SamplePlate1!B" &amp; (X$2 + 1+(1*24))))</f>
        <v/>
      </c>
      <c r="Y4" s="20" t="str" cm="1">
        <f t="array" aca="1" ref="Y4" ca="1">IF(INDIRECT("SamplePlate1!B" &amp; (Y$2 + 1+(1*24)))="","",INDIRECT("SamplePlate1!B" &amp; (Y$2 + 1+(1*24))))</f>
        <v/>
      </c>
    </row>
    <row r="5" spans="1:25" ht="44.25" customHeight="1" x14ac:dyDescent="0.25">
      <c r="A5" s="19" t="s">
        <v>436</v>
      </c>
      <c r="B5" s="20" t="str" cm="1">
        <f t="array" aca="1" ref="B5" ca="1">IF(INDIRECT("SamplePlate1!B" &amp; (B$2 + 1+(2*24)))="","",INDIRECT("SamplePlate1!B" &amp; (B$2 + 1+(2*24))))</f>
        <v>Octet Buffer</v>
      </c>
      <c r="C5" s="20" t="str" cm="1">
        <f t="array" aca="1" ref="C5" ca="1">IF(INDIRECT("SamplePlate1!B" &amp; (C$2 + 1+(2*24)))="","",INDIRECT("SamplePlate1!B" &amp; (C$2 + 1+(2*24))))</f>
        <v>hsCD3d/e_Acro_CDD-H52W1</v>
      </c>
      <c r="D5" s="20" t="str" cm="1">
        <f t="array" aca="1" ref="D5" ca="1">IF(INDIRECT("SamplePlate1!B" &amp; (D$2 + 1+(2*24)))="","",INDIRECT("SamplePlate1!B" &amp; (D$2 + 1+(2*24))))</f>
        <v>Octet Buffer</v>
      </c>
      <c r="E5" s="20" t="str" cm="1">
        <f t="array" aca="1" ref="E5" ca="1">IF(INDIRECT("SamplePlate1!B" &amp; (E$2 + 1+(2*24)))="","",INDIRECT("SamplePlate1!B" &amp; (E$2 + 1+(2*24))))</f>
        <v>hsCD3d/e_Acro_CDD-H52W1</v>
      </c>
      <c r="F5" s="20" t="str" cm="1">
        <f t="array" aca="1" ref="F5" ca="1">IF(INDIRECT("SamplePlate1!B" &amp; (F$2 + 1+(2*24)))="","",INDIRECT("SamplePlate1!B" &amp; (F$2 + 1+(2*24))))</f>
        <v>SI-157C11_P5158</v>
      </c>
      <c r="G5" s="20" t="str" cm="1">
        <f t="array" aca="1" ref="G5" ca="1">IF(INDIRECT("SamplePlate1!B" &amp; (G$2 + 1+(2*24)))="","",INDIRECT("SamplePlate1!B" &amp; (G$2 + 1+(2*24))))</f>
        <v>SI-157C12_P5159</v>
      </c>
      <c r="H5" s="20" t="str" cm="1">
        <f t="array" aca="1" ref="H5" ca="1">IF(INDIRECT("SamplePlate1!B" &amp; (H$2 + 1+(2*24)))="","",INDIRECT("SamplePlate1!B" &amp; (H$2 + 1+(2*24))))</f>
        <v>SI-157C13_P5198</v>
      </c>
      <c r="I5" s="20" t="str" cm="1">
        <f t="array" aca="1" ref="I5" ca="1">IF(INDIRECT("SamplePlate1!B" &amp; (I$2 + 1+(2*24)))="","",INDIRECT("SamplePlate1!B" &amp; (I$2 + 1+(2*24))))</f>
        <v>SI-157C14_P5199</v>
      </c>
      <c r="J5" s="20" t="str" cm="1">
        <f t="array" aca="1" ref="J5" ca="1">IF(INDIRECT("SamplePlate1!B" &amp; (J$2 + 1+(2*24)))="","",INDIRECT("SamplePlate1!B" &amp; (J$2 + 1+(2*24))))</f>
        <v>SI-157C15_P5235</v>
      </c>
      <c r="K5" s="20" t="str" cm="1">
        <f t="array" aca="1" ref="K5" ca="1">IF(INDIRECT("SamplePlate1!B" &amp; (K$2 + 1+(2*24)))="","",INDIRECT("SamplePlate1!B" &amp; (K$2 + 1+(2*24))))</f>
        <v>SI-157C16_P5236</v>
      </c>
      <c r="L5" s="20" t="str" cm="1">
        <f t="array" aca="1" ref="L5" ca="1">IF(INDIRECT("SamplePlate1!B" &amp; (L$2 + 1+(2*24)))="","",INDIRECT("SamplePlate1!B" &amp; (L$2 + 1+(2*24))))</f>
        <v>SI-157C17_P5237</v>
      </c>
      <c r="M5" s="20" t="str" cm="1">
        <f t="array" aca="1" ref="M5" ca="1">IF(INDIRECT("SamplePlate1!B" &amp; (M$2 + 1+(2*24)))="","",INDIRECT("SamplePlate1!B" &amp; (M$2 + 1+(2*24))))</f>
        <v>SI-157C18_P5317</v>
      </c>
      <c r="N5" s="20" t="str" cm="1">
        <f t="array" aca="1" ref="N5" ca="1">IF(INDIRECT("SamplePlate1!B" &amp; (N$2 + 1+(2*24)))="","",INDIRECT("SamplePlate1!B" &amp; (N$2 + 1+(2*24))))</f>
        <v>SI-83X1_P5364</v>
      </c>
      <c r="O5" s="20" t="str" cm="1">
        <f t="array" aca="1" ref="O5" ca="1">IF(INDIRECT("SamplePlate1!B" &amp; (O$2 + 1+(2*24)))="","",INDIRECT("SamplePlate1!B" &amp; (O$2 + 1+(2*24))))</f>
        <v>SI-157C19_P5365</v>
      </c>
      <c r="P5" s="20" t="str" cm="1">
        <f t="array" aca="1" ref="P5" ca="1">IF(INDIRECT("SamplePlate1!B" &amp; (P$2 + 1+(2*24)))="","",INDIRECT("SamplePlate1!B" &amp; (P$2 + 1+(2*24))))</f>
        <v>SI-157X47_P5533</v>
      </c>
      <c r="Q5" s="20" t="str" cm="1">
        <f t="array" aca="1" ref="Q5" ca="1">IF(INDIRECT("SamplePlate1!B" &amp; (Q$2 + 1+(2*24)))="","",INDIRECT("SamplePlate1!B" &amp; (Q$2 + 1+(2*24))))</f>
        <v>SI-157X56_P5534</v>
      </c>
      <c r="R5" s="20" t="str" cm="1">
        <f t="array" aca="1" ref="R5" ca="1">IF(INDIRECT("SamplePlate1!B" &amp; (R$2 + 1+(2*24)))="","",INDIRECT("SamplePlate1!B" &amp; (R$2 + 1+(2*24))))</f>
        <v>SI-157X61_P5535</v>
      </c>
      <c r="S5" s="20" t="str" cm="1">
        <f t="array" aca="1" ref="S5" ca="1">IF(INDIRECT("SamplePlate1!B" &amp; (S$2 + 1+(2*24)))="","",INDIRECT("SamplePlate1!B" &amp; (S$2 + 1+(2*24))))</f>
        <v>SI-157X62_P5536</v>
      </c>
      <c r="T5" s="20" t="str" cm="1">
        <f t="array" aca="1" ref="T5" ca="1">IF(INDIRECT("SamplePlate1!B" &amp; (T$2 + 1+(2*24)))="","",INDIRECT("SamplePlate1!B" &amp; (T$2 + 1+(2*24))))</f>
        <v>SI-157X63_P5537</v>
      </c>
      <c r="U5" s="20" t="str" cm="1">
        <f t="array" aca="1" ref="U5" ca="1">IF(INDIRECT("SamplePlate1!B" &amp; (U$2 + 1+(2*24)))="","",INDIRECT("SamplePlate1!B" &amp; (U$2 + 1+(2*24))))</f>
        <v>SI-157X64_P5538</v>
      </c>
      <c r="V5" s="20" t="str" cm="1">
        <f t="array" aca="1" ref="V5" ca="1">IF(INDIRECT("SamplePlate1!B" &amp; (V$2 + 1+(2*24)))="","",INDIRECT("SamplePlate1!B" &amp; (V$2 + 1+(2*24))))</f>
        <v>SI-157X49_P5563</v>
      </c>
      <c r="W5" s="20" t="str" cm="1">
        <f t="array" aca="1" ref="W5" ca="1">IF(INDIRECT("SamplePlate1!B" &amp; (W$2 + 1+(2*24)))="","",INDIRECT("SamplePlate1!B" &amp; (W$2 + 1+(2*24))))</f>
        <v>SI-157X50_P5564</v>
      </c>
      <c r="X5" s="20" t="str" cm="1">
        <f t="array" aca="1" ref="X5" ca="1">IF(INDIRECT("SamplePlate1!B" &amp; (X$2 + 1+(2*24)))="","",INDIRECT("SamplePlate1!B" &amp; (X$2 + 1+(2*24))))</f>
        <v>SI-157X53_P5565</v>
      </c>
      <c r="Y5" s="20" t="str" cm="1">
        <f t="array" aca="1" ref="Y5" ca="1">IF(INDIRECT("SamplePlate1!B" &amp; (Y$2 + 1+(2*24)))="","",INDIRECT("SamplePlate1!B" &amp; (Y$2 + 1+(2*24))))</f>
        <v>SI-157X57_P5566</v>
      </c>
    </row>
    <row r="6" spans="1:25" ht="44.25" customHeight="1" x14ac:dyDescent="0.25">
      <c r="A6" s="19" t="s">
        <v>437</v>
      </c>
      <c r="B6" s="20" t="str" cm="1">
        <f t="array" aca="1" ref="B6" ca="1">IF(INDIRECT("SamplePlate1!B" &amp; (B$2 + 1+(3*24)))="","",INDIRECT("SamplePlate1!B" &amp; (B$2 + 1+(3*24))))</f>
        <v>SI-157X65_P5567</v>
      </c>
      <c r="C6" s="20" t="str" cm="1">
        <f t="array" aca="1" ref="C6" ca="1">IF(INDIRECT("SamplePlate1!B" &amp; (C$2 + 1+(3*24)))="","",INDIRECT("SamplePlate1!B" &amp; (C$2 + 1+(3*24))))</f>
        <v>SI-157X66_P5568</v>
      </c>
      <c r="D6" s="20" t="str" cm="1">
        <f t="array" aca="1" ref="D6" ca="1">IF(INDIRECT("SamplePlate1!B" &amp; (D$2 + 1+(3*24)))="","",INDIRECT("SamplePlate1!B" &amp; (D$2 + 1+(3*24))))</f>
        <v>SI-157X67_P5569</v>
      </c>
      <c r="E6" s="20" t="str" cm="1">
        <f t="array" aca="1" ref="E6" ca="1">IF(INDIRECT("SamplePlate1!B" &amp; (E$2 + 1+(3*24)))="","",INDIRECT("SamplePlate1!B" &amp; (E$2 + 1+(3*24))))</f>
        <v>SI-157X68_P5570</v>
      </c>
      <c r="F6" s="20" t="str" cm="1">
        <f t="array" aca="1" ref="F6" ca="1">IF(INDIRECT("SamplePlate1!B" &amp; (F$2 + 1+(3*24)))="","",INDIRECT("SamplePlate1!B" &amp; (F$2 + 1+(3*24))))</f>
        <v>Glycine</v>
      </c>
      <c r="G6" s="20" t="str" cm="1">
        <f t="array" aca="1" ref="G6" ca="1">IF(INDIRECT("SamplePlate1!B" &amp; (G$2 + 1+(3*24)))="","",INDIRECT("SamplePlate1!B" &amp; (G$2 + 1+(3*24))))</f>
        <v>PBS</v>
      </c>
      <c r="H6" s="20" t="str" cm="1">
        <f t="array" aca="1" ref="H6" ca="1">IF(INDIRECT("SamplePlate1!B" &amp; (H$2 + 1+(3*24)))="","",INDIRECT("SamplePlate1!B" &amp; (H$2 + 1+(3*24))))</f>
        <v>Glycine</v>
      </c>
      <c r="I6" s="20" t="str" cm="1">
        <f t="array" aca="1" ref="I6" ca="1">IF(INDIRECT("SamplePlate1!B" &amp; (I$2 + 1+(3*24)))="","",INDIRECT("SamplePlate1!B" &amp; (I$2 + 1+(3*24))))</f>
        <v>PBS</v>
      </c>
      <c r="J6" s="20" t="str" cm="1">
        <f t="array" aca="1" ref="J6" ca="1">IF(INDIRECT("SamplePlate1!B" &amp; (J$2 + 1+(3*24)))="","",INDIRECT("SamplePlate1!B" &amp; (J$2 + 1+(3*24))))</f>
        <v/>
      </c>
      <c r="K6" s="20" t="str" cm="1">
        <f t="array" aca="1" ref="K6" ca="1">IF(INDIRECT("SamplePlate1!B" &amp; (K$2 + 1+(3*24)))="","",INDIRECT("SamplePlate1!B" &amp; (K$2 + 1+(3*24))))</f>
        <v/>
      </c>
      <c r="L6" s="20" t="str" cm="1">
        <f t="array" aca="1" ref="L6" ca="1">IF(INDIRECT("SamplePlate1!B" &amp; (L$2 + 1+(3*24)))="","",INDIRECT("SamplePlate1!B" &amp; (L$2 + 1+(3*24))))</f>
        <v/>
      </c>
      <c r="M6" s="20" t="str" cm="1">
        <f t="array" aca="1" ref="M6" ca="1">IF(INDIRECT("SamplePlate1!B" &amp; (M$2 + 1+(3*24)))="","",INDIRECT("SamplePlate1!B" &amp; (M$2 + 1+(3*24))))</f>
        <v/>
      </c>
      <c r="N6" s="20" t="str" cm="1">
        <f t="array" aca="1" ref="N6" ca="1">IF(INDIRECT("SamplePlate1!B" &amp; (N$2 + 1+(3*24)))="","",INDIRECT("SamplePlate1!B" &amp; (N$2 + 1+(3*24))))</f>
        <v/>
      </c>
      <c r="O6" s="20" t="str" cm="1">
        <f t="array" aca="1" ref="O6" ca="1">IF(INDIRECT("SamplePlate1!B" &amp; (O$2 + 1+(3*24)))="","",INDIRECT("SamplePlate1!B" &amp; (O$2 + 1+(3*24))))</f>
        <v/>
      </c>
      <c r="P6" s="20" t="str" cm="1">
        <f t="array" aca="1" ref="P6" ca="1">IF(INDIRECT("SamplePlate1!B" &amp; (P$2 + 1+(3*24)))="","",INDIRECT("SamplePlate1!B" &amp; (P$2 + 1+(3*24))))</f>
        <v/>
      </c>
      <c r="Q6" s="20" t="str" cm="1">
        <f t="array" aca="1" ref="Q6" ca="1">IF(INDIRECT("SamplePlate1!B" &amp; (Q$2 + 1+(3*24)))="","",INDIRECT("SamplePlate1!B" &amp; (Q$2 + 1+(3*24))))</f>
        <v/>
      </c>
      <c r="R6" s="20" t="str" cm="1">
        <f t="array" aca="1" ref="R6" ca="1">IF(INDIRECT("SamplePlate1!B" &amp; (R$2 + 1+(3*24)))="","",INDIRECT("SamplePlate1!B" &amp; (R$2 + 1+(3*24))))</f>
        <v/>
      </c>
      <c r="S6" s="20" t="str" cm="1">
        <f t="array" aca="1" ref="S6" ca="1">IF(INDIRECT("SamplePlate1!B" &amp; (S$2 + 1+(3*24)))="","",INDIRECT("SamplePlate1!B" &amp; (S$2 + 1+(3*24))))</f>
        <v/>
      </c>
      <c r="T6" s="20" t="str" cm="1">
        <f t="array" aca="1" ref="T6" ca="1">IF(INDIRECT("SamplePlate1!B" &amp; (T$2 + 1+(3*24)))="","",INDIRECT("SamplePlate1!B" &amp; (T$2 + 1+(3*24))))</f>
        <v/>
      </c>
      <c r="U6" s="20" t="str" cm="1">
        <f t="array" aca="1" ref="U6" ca="1">IF(INDIRECT("SamplePlate1!B" &amp; (U$2 + 1+(3*24)))="","",INDIRECT("SamplePlate1!B" &amp; (U$2 + 1+(3*24))))</f>
        <v/>
      </c>
      <c r="V6" s="20" t="str" cm="1">
        <f t="array" aca="1" ref="V6" ca="1">IF(INDIRECT("SamplePlate1!B" &amp; (V$2 + 1+(3*24)))="","",INDIRECT("SamplePlate1!B" &amp; (V$2 + 1+(3*24))))</f>
        <v/>
      </c>
      <c r="W6" s="20" t="str" cm="1">
        <f t="array" aca="1" ref="W6" ca="1">IF(INDIRECT("SamplePlate1!B" &amp; (W$2 + 1+(3*24)))="","",INDIRECT("SamplePlate1!B" &amp; (W$2 + 1+(3*24))))</f>
        <v/>
      </c>
      <c r="X6" s="20" t="str" cm="1">
        <f t="array" aca="1" ref="X6" ca="1">IF(INDIRECT("SamplePlate1!B" &amp; (X$2 + 1+(3*24)))="","",INDIRECT("SamplePlate1!B" &amp; (X$2 + 1+(3*24))))</f>
        <v/>
      </c>
      <c r="Y6" s="20" t="str" cm="1">
        <f t="array" aca="1" ref="Y6" ca="1">IF(INDIRECT("SamplePlate1!B" &amp; (Y$2 + 1+(3*24)))="","",INDIRECT("SamplePlate1!B" &amp; (Y$2 + 1+(3*24))))</f>
        <v/>
      </c>
    </row>
    <row r="7" spans="1:25" ht="44.25" customHeight="1" x14ac:dyDescent="0.25">
      <c r="A7" s="19" t="s">
        <v>438</v>
      </c>
      <c r="B7" s="20" t="str" cm="1">
        <f t="array" aca="1" ref="B7" ca="1">IF(INDIRECT("SamplePlate1!B" &amp; (B$2 + 1+(4*24)))="","",INDIRECT("SamplePlate1!B" &amp; (B$2 + 1+(4*24))))</f>
        <v>Octet Buffer</v>
      </c>
      <c r="C7" s="20" t="str" cm="1">
        <f t="array" aca="1" ref="C7" ca="1">IF(INDIRECT("SamplePlate1!B" &amp; (C$2 + 1+(4*24)))="","",INDIRECT("SamplePlate1!B" &amp; (C$2 + 1+(4*24))))</f>
        <v>hsCD3d/e_Acro_CDD-H52W1</v>
      </c>
      <c r="D7" s="20" t="str" cm="1">
        <f t="array" aca="1" ref="D7" ca="1">IF(INDIRECT("SamplePlate1!B" &amp; (D$2 + 1+(4*24)))="","",INDIRECT("SamplePlate1!B" &amp; (D$2 + 1+(4*24))))</f>
        <v>Octet Buffer</v>
      </c>
      <c r="E7" s="20" t="str" cm="1">
        <f t="array" aca="1" ref="E7" ca="1">IF(INDIRECT("SamplePlate1!B" &amp; (E$2 + 1+(4*24)))="","",INDIRECT("SamplePlate1!B" &amp; (E$2 + 1+(4*24))))</f>
        <v>hsCD3d/e_Acro_CDD-H52W1</v>
      </c>
      <c r="F7" s="20" t="str" cm="1">
        <f t="array" aca="1" ref="F7" ca="1">IF(INDIRECT("SamplePlate1!B" &amp; (F$2 + 1+(4*24)))="","",INDIRECT("SamplePlate1!B" &amp; (F$2 + 1+(4*24))))</f>
        <v>SI-157C11_P5158</v>
      </c>
      <c r="G7" s="20" t="str" cm="1">
        <f t="array" aca="1" ref="G7" ca="1">IF(INDIRECT("SamplePlate1!B" &amp; (G$2 + 1+(4*24)))="","",INDIRECT("SamplePlate1!B" &amp; (G$2 + 1+(4*24))))</f>
        <v>SI-157C12_P5159</v>
      </c>
      <c r="H7" s="20" t="str" cm="1">
        <f t="array" aca="1" ref="H7" ca="1">IF(INDIRECT("SamplePlate1!B" &amp; (H$2 + 1+(4*24)))="","",INDIRECT("SamplePlate1!B" &amp; (H$2 + 1+(4*24))))</f>
        <v>SI-157C13_P5198</v>
      </c>
      <c r="I7" s="20" t="str" cm="1">
        <f t="array" aca="1" ref="I7" ca="1">IF(INDIRECT("SamplePlate1!B" &amp; (I$2 + 1+(4*24)))="","",INDIRECT("SamplePlate1!B" &amp; (I$2 + 1+(4*24))))</f>
        <v>SI-157C14_P5199</v>
      </c>
      <c r="J7" s="20" t="str" cm="1">
        <f t="array" aca="1" ref="J7" ca="1">IF(INDIRECT("SamplePlate1!B" &amp; (J$2 + 1+(4*24)))="","",INDIRECT("SamplePlate1!B" &amp; (J$2 + 1+(4*24))))</f>
        <v>SI-157C15_P5235</v>
      </c>
      <c r="K7" s="20" t="str" cm="1">
        <f t="array" aca="1" ref="K7" ca="1">IF(INDIRECT("SamplePlate1!B" &amp; (K$2 + 1+(4*24)))="","",INDIRECT("SamplePlate1!B" &amp; (K$2 + 1+(4*24))))</f>
        <v>SI-157C16_P5236</v>
      </c>
      <c r="L7" s="20" t="str" cm="1">
        <f t="array" aca="1" ref="L7" ca="1">IF(INDIRECT("SamplePlate1!B" &amp; (L$2 + 1+(4*24)))="","",INDIRECT("SamplePlate1!B" &amp; (L$2 + 1+(4*24))))</f>
        <v>SI-157C17_P5237</v>
      </c>
      <c r="M7" s="20" t="str" cm="1">
        <f t="array" aca="1" ref="M7" ca="1">IF(INDIRECT("SamplePlate1!B" &amp; (M$2 + 1+(4*24)))="","",INDIRECT("SamplePlate1!B" &amp; (M$2 + 1+(4*24))))</f>
        <v>SI-157C18_P5317</v>
      </c>
      <c r="N7" s="20" t="str" cm="1">
        <f t="array" aca="1" ref="N7" ca="1">IF(INDIRECT("SamplePlate1!B" &amp; (N$2 + 1+(4*24)))="","",INDIRECT("SamplePlate1!B" &amp; (N$2 + 1+(4*24))))</f>
        <v>SI-83X1_P5364</v>
      </c>
      <c r="O7" s="20" t="str" cm="1">
        <f t="array" aca="1" ref="O7" ca="1">IF(INDIRECT("SamplePlate1!B" &amp; (O$2 + 1+(4*24)))="","",INDIRECT("SamplePlate1!B" &amp; (O$2 + 1+(4*24))))</f>
        <v>SI-157C19_P5365</v>
      </c>
      <c r="P7" s="20" t="str" cm="1">
        <f t="array" aca="1" ref="P7" ca="1">IF(INDIRECT("SamplePlate1!B" &amp; (P$2 + 1+(4*24)))="","",INDIRECT("SamplePlate1!B" &amp; (P$2 + 1+(4*24))))</f>
        <v>SI-157X47_P5533</v>
      </c>
      <c r="Q7" s="20" t="str" cm="1">
        <f t="array" aca="1" ref="Q7" ca="1">IF(INDIRECT("SamplePlate1!B" &amp; (Q$2 + 1+(4*24)))="","",INDIRECT("SamplePlate1!B" &amp; (Q$2 + 1+(4*24))))</f>
        <v>SI-157X56_P5534</v>
      </c>
      <c r="R7" s="20" t="str" cm="1">
        <f t="array" aca="1" ref="R7" ca="1">IF(INDIRECT("SamplePlate1!B" &amp; (R$2 + 1+(4*24)))="","",INDIRECT("SamplePlate1!B" &amp; (R$2 + 1+(4*24))))</f>
        <v>SI-157X61_P5535</v>
      </c>
      <c r="S7" s="20" t="str" cm="1">
        <f t="array" aca="1" ref="S7" ca="1">IF(INDIRECT("SamplePlate1!B" &amp; (S$2 + 1+(4*24)))="","",INDIRECT("SamplePlate1!B" &amp; (S$2 + 1+(4*24))))</f>
        <v>SI-157X62_P5536</v>
      </c>
      <c r="T7" s="20" t="str" cm="1">
        <f t="array" aca="1" ref="T7" ca="1">IF(INDIRECT("SamplePlate1!B" &amp; (T$2 + 1+(4*24)))="","",INDIRECT("SamplePlate1!B" &amp; (T$2 + 1+(4*24))))</f>
        <v>SI-157X63_P5537</v>
      </c>
      <c r="U7" s="20" t="str" cm="1">
        <f t="array" aca="1" ref="U7" ca="1">IF(INDIRECT("SamplePlate1!B" &amp; (U$2 + 1+(4*24)))="","",INDIRECT("SamplePlate1!B" &amp; (U$2 + 1+(4*24))))</f>
        <v>SI-157X64_P5538</v>
      </c>
      <c r="V7" s="20" t="str" cm="1">
        <f t="array" aca="1" ref="V7" ca="1">IF(INDIRECT("SamplePlate1!B" &amp; (V$2 + 1+(4*24)))="","",INDIRECT("SamplePlate1!B" &amp; (V$2 + 1+(4*24))))</f>
        <v>SI-157X49_P5563</v>
      </c>
      <c r="W7" s="20" t="str" cm="1">
        <f t="array" aca="1" ref="W7" ca="1">IF(INDIRECT("SamplePlate1!B" &amp; (W$2 + 1+(4*24)))="","",INDIRECT("SamplePlate1!B" &amp; (W$2 + 1+(4*24))))</f>
        <v>SI-157X50_P5564</v>
      </c>
      <c r="X7" s="20" t="str" cm="1">
        <f t="array" aca="1" ref="X7" ca="1">IF(INDIRECT("SamplePlate1!B" &amp; (X$2 + 1+(4*24)))="","",INDIRECT("SamplePlate1!B" &amp; (X$2 + 1+(4*24))))</f>
        <v>SI-157X53_P5565</v>
      </c>
      <c r="Y7" s="20" t="str" cm="1">
        <f t="array" aca="1" ref="Y7" ca="1">IF(INDIRECT("SamplePlate1!B" &amp; (Y$2 + 1+(4*24)))="","",INDIRECT("SamplePlate1!B" &amp; (Y$2 + 1+(4*24))))</f>
        <v>SI-157X57_P5566</v>
      </c>
    </row>
    <row r="8" spans="1:25" ht="44.25" customHeight="1" x14ac:dyDescent="0.25">
      <c r="A8" s="19" t="s">
        <v>439</v>
      </c>
      <c r="B8" s="20" t="str" cm="1">
        <f t="array" aca="1" ref="B8" ca="1">IF(INDIRECT("SamplePlate1!B" &amp; (B$2 + 1+(5*24)))="","",INDIRECT("SamplePlate1!B" &amp; (B$2 + 1+(5*24))))</f>
        <v>SI-157X65_P5567</v>
      </c>
      <c r="C8" s="20" t="str" cm="1">
        <f t="array" aca="1" ref="C8" ca="1">IF(INDIRECT("SamplePlate1!B" &amp; (C$2 + 1+(5*24)))="","",INDIRECT("SamplePlate1!B" &amp; (C$2 + 1+(5*24))))</f>
        <v>SI-157X66_P5568</v>
      </c>
      <c r="D8" s="20" t="str" cm="1">
        <f t="array" aca="1" ref="D8" ca="1">IF(INDIRECT("SamplePlate1!B" &amp; (D$2 + 1+(5*24)))="","",INDIRECT("SamplePlate1!B" &amp; (D$2 + 1+(5*24))))</f>
        <v>SI-157X67_P5569</v>
      </c>
      <c r="E8" s="20" t="str" cm="1">
        <f t="array" aca="1" ref="E8" ca="1">IF(INDIRECT("SamplePlate1!B" &amp; (E$2 + 1+(5*24)))="","",INDIRECT("SamplePlate1!B" &amp; (E$2 + 1+(5*24))))</f>
        <v>SI-157X68_P5570</v>
      </c>
      <c r="F8" s="20" t="str" cm="1">
        <f t="array" aca="1" ref="F8" ca="1">IF(INDIRECT("SamplePlate1!B" &amp; (F$2 + 1+(5*24)))="","",INDIRECT("SamplePlate1!B" &amp; (F$2 + 1+(5*24))))</f>
        <v>Glycine</v>
      </c>
      <c r="G8" s="20" t="str" cm="1">
        <f t="array" aca="1" ref="G8" ca="1">IF(INDIRECT("SamplePlate1!B" &amp; (G$2 + 1+(5*24)))="","",INDIRECT("SamplePlate1!B" &amp; (G$2 + 1+(5*24))))</f>
        <v>PBS</v>
      </c>
      <c r="H8" s="20" t="str" cm="1">
        <f t="array" aca="1" ref="H8" ca="1">IF(INDIRECT("SamplePlate1!B" &amp; (H$2 + 1+(5*24)))="","",INDIRECT("SamplePlate1!B" &amp; (H$2 + 1+(5*24))))</f>
        <v>Glycine</v>
      </c>
      <c r="I8" s="20" t="str" cm="1">
        <f t="array" aca="1" ref="I8" ca="1">IF(INDIRECT("SamplePlate1!B" &amp; (I$2 + 1+(5*24)))="","",INDIRECT("SamplePlate1!B" &amp; (I$2 + 1+(5*24))))</f>
        <v>PBS</v>
      </c>
      <c r="J8" s="20" t="str" cm="1">
        <f t="array" aca="1" ref="J8" ca="1">IF(INDIRECT("SamplePlate1!B" &amp; (J$2 + 1+(5*24)))="","",INDIRECT("SamplePlate1!B" &amp; (J$2 + 1+(5*24))))</f>
        <v/>
      </c>
      <c r="K8" s="20" t="str" cm="1">
        <f t="array" aca="1" ref="K8" ca="1">IF(INDIRECT("SamplePlate1!B" &amp; (K$2 + 1+(5*24)))="","",INDIRECT("SamplePlate1!B" &amp; (K$2 + 1+(5*24))))</f>
        <v/>
      </c>
      <c r="L8" s="20" t="str" cm="1">
        <f t="array" aca="1" ref="L8" ca="1">IF(INDIRECT("SamplePlate1!B" &amp; (L$2 + 1+(5*24)))="","",INDIRECT("SamplePlate1!B" &amp; (L$2 + 1+(5*24))))</f>
        <v/>
      </c>
      <c r="M8" s="20" t="str" cm="1">
        <f t="array" aca="1" ref="M8" ca="1">IF(INDIRECT("SamplePlate1!B" &amp; (M$2 + 1+(5*24)))="","",INDIRECT("SamplePlate1!B" &amp; (M$2 + 1+(5*24))))</f>
        <v/>
      </c>
      <c r="N8" s="20" t="str" cm="1">
        <f t="array" aca="1" ref="N8" ca="1">IF(INDIRECT("SamplePlate1!B" &amp; (N$2 + 1+(5*24)))="","",INDIRECT("SamplePlate1!B" &amp; (N$2 + 1+(5*24))))</f>
        <v/>
      </c>
      <c r="O8" s="20" t="str" cm="1">
        <f t="array" aca="1" ref="O8" ca="1">IF(INDIRECT("SamplePlate1!B" &amp; (O$2 + 1+(5*24)))="","",INDIRECT("SamplePlate1!B" &amp; (O$2 + 1+(5*24))))</f>
        <v/>
      </c>
      <c r="P8" s="20" t="str" cm="1">
        <f t="array" aca="1" ref="P8" ca="1">IF(INDIRECT("SamplePlate1!B" &amp; (P$2 + 1+(5*24)))="","",INDIRECT("SamplePlate1!B" &amp; (P$2 + 1+(5*24))))</f>
        <v/>
      </c>
      <c r="Q8" s="20" t="str" cm="1">
        <f t="array" aca="1" ref="Q8" ca="1">IF(INDIRECT("SamplePlate1!B" &amp; (Q$2 + 1+(5*24)))="","",INDIRECT("SamplePlate1!B" &amp; (Q$2 + 1+(5*24))))</f>
        <v/>
      </c>
      <c r="R8" s="20" t="str" cm="1">
        <f t="array" aca="1" ref="R8" ca="1">IF(INDIRECT("SamplePlate1!B" &amp; (R$2 + 1+(5*24)))="","",INDIRECT("SamplePlate1!B" &amp; (R$2 + 1+(5*24))))</f>
        <v/>
      </c>
      <c r="S8" s="20" t="str" cm="1">
        <f t="array" aca="1" ref="S8" ca="1">IF(INDIRECT("SamplePlate1!B" &amp; (S$2 + 1+(5*24)))="","",INDIRECT("SamplePlate1!B" &amp; (S$2 + 1+(5*24))))</f>
        <v/>
      </c>
      <c r="T8" s="20" t="str" cm="1">
        <f t="array" aca="1" ref="T8" ca="1">IF(INDIRECT("SamplePlate1!B" &amp; (T$2 + 1+(5*24)))="","",INDIRECT("SamplePlate1!B" &amp; (T$2 + 1+(5*24))))</f>
        <v/>
      </c>
      <c r="U8" s="20" t="str" cm="1">
        <f t="array" aca="1" ref="U8" ca="1">IF(INDIRECT("SamplePlate1!B" &amp; (U$2 + 1+(5*24)))="","",INDIRECT("SamplePlate1!B" &amp; (U$2 + 1+(5*24))))</f>
        <v/>
      </c>
      <c r="V8" s="20" t="str" cm="1">
        <f t="array" aca="1" ref="V8" ca="1">IF(INDIRECT("SamplePlate1!B" &amp; (V$2 + 1+(5*24)))="","",INDIRECT("SamplePlate1!B" &amp; (V$2 + 1+(5*24))))</f>
        <v/>
      </c>
      <c r="W8" s="20" t="str" cm="1">
        <f t="array" aca="1" ref="W8" ca="1">IF(INDIRECT("SamplePlate1!B" &amp; (W$2 + 1+(5*24)))="","",INDIRECT("SamplePlate1!B" &amp; (W$2 + 1+(5*24))))</f>
        <v/>
      </c>
      <c r="X8" s="20" t="str" cm="1">
        <f t="array" aca="1" ref="X8" ca="1">IF(INDIRECT("SamplePlate1!B" &amp; (X$2 + 1+(5*24)))="","",INDIRECT("SamplePlate1!B" &amp; (X$2 + 1+(5*24))))</f>
        <v/>
      </c>
      <c r="Y8" s="20" t="str" cm="1">
        <f t="array" aca="1" ref="Y8" ca="1">IF(INDIRECT("SamplePlate1!B" &amp; (Y$2 + 1+(5*24)))="","",INDIRECT("SamplePlate1!B" &amp; (Y$2 + 1+(5*24))))</f>
        <v/>
      </c>
    </row>
    <row r="9" spans="1:25" ht="44.25" customHeight="1" x14ac:dyDescent="0.25">
      <c r="A9" s="19" t="s">
        <v>440</v>
      </c>
      <c r="B9" s="20" t="str" cm="1">
        <f t="array" aca="1" ref="B9" ca="1">IF(INDIRECT("SamplePlate1!B" &amp; (B$2 + 1+(6*24)))="","",INDIRECT("SamplePlate1!B" &amp; (B$2 + 1+(6*24))))</f>
        <v>Octet Buffer</v>
      </c>
      <c r="C9" s="20" t="str" cm="1">
        <f t="array" aca="1" ref="C9" ca="1">IF(INDIRECT("SamplePlate1!B" &amp; (C$2 + 1+(6*24)))="","",INDIRECT("SamplePlate1!B" &amp; (C$2 + 1+(6*24))))</f>
        <v>hsCD3d/e_Acro_CDD-H52W1</v>
      </c>
      <c r="D9" s="20" t="str" cm="1">
        <f t="array" aca="1" ref="D9" ca="1">IF(INDIRECT("SamplePlate1!B" &amp; (D$2 + 1+(6*24)))="","",INDIRECT("SamplePlate1!B" &amp; (D$2 + 1+(6*24))))</f>
        <v>Octet Buffer</v>
      </c>
      <c r="E9" s="20" t="str" cm="1">
        <f t="array" aca="1" ref="E9" ca="1">IF(INDIRECT("SamplePlate1!B" &amp; (E$2 + 1+(6*24)))="","",INDIRECT("SamplePlate1!B" &amp; (E$2 + 1+(6*24))))</f>
        <v>hsCD3d/e_Acro_CDD-H52W1</v>
      </c>
      <c r="F9" s="20" t="str" cm="1">
        <f t="array" aca="1" ref="F9" ca="1">IF(INDIRECT("SamplePlate1!B" &amp; (F$2 + 1+(6*24)))="","",INDIRECT("SamplePlate1!B" &amp; (F$2 + 1+(6*24))))</f>
        <v>SI-157C11_P5158</v>
      </c>
      <c r="G9" s="20" t="str" cm="1">
        <f t="array" aca="1" ref="G9" ca="1">IF(INDIRECT("SamplePlate1!B" &amp; (G$2 + 1+(6*24)))="","",INDIRECT("SamplePlate1!B" &amp; (G$2 + 1+(6*24))))</f>
        <v>SI-157C12_P5159</v>
      </c>
      <c r="H9" s="20" t="str" cm="1">
        <f t="array" aca="1" ref="H9" ca="1">IF(INDIRECT("SamplePlate1!B" &amp; (H$2 + 1+(6*24)))="","",INDIRECT("SamplePlate1!B" &amp; (H$2 + 1+(6*24))))</f>
        <v>SI-157C13_P5198</v>
      </c>
      <c r="I9" s="20" t="str" cm="1">
        <f t="array" aca="1" ref="I9" ca="1">IF(INDIRECT("SamplePlate1!B" &amp; (I$2 + 1+(6*24)))="","",INDIRECT("SamplePlate1!B" &amp; (I$2 + 1+(6*24))))</f>
        <v>SI-157C14_P5199</v>
      </c>
      <c r="J9" s="20" t="str" cm="1">
        <f t="array" aca="1" ref="J9" ca="1">IF(INDIRECT("SamplePlate1!B" &amp; (J$2 + 1+(6*24)))="","",INDIRECT("SamplePlate1!B" &amp; (J$2 + 1+(6*24))))</f>
        <v>SI-157C15_P5235</v>
      </c>
      <c r="K9" s="20" t="str" cm="1">
        <f t="array" aca="1" ref="K9" ca="1">IF(INDIRECT("SamplePlate1!B" &amp; (K$2 + 1+(6*24)))="","",INDIRECT("SamplePlate1!B" &amp; (K$2 + 1+(6*24))))</f>
        <v>SI-157C16_P5236</v>
      </c>
      <c r="L9" s="20" t="str" cm="1">
        <f t="array" aca="1" ref="L9" ca="1">IF(INDIRECT("SamplePlate1!B" &amp; (L$2 + 1+(6*24)))="","",INDIRECT("SamplePlate1!B" &amp; (L$2 + 1+(6*24))))</f>
        <v>SI-157C17_P5237</v>
      </c>
      <c r="M9" s="20" t="str" cm="1">
        <f t="array" aca="1" ref="M9" ca="1">IF(INDIRECT("SamplePlate1!B" &amp; (M$2 + 1+(6*24)))="","",INDIRECT("SamplePlate1!B" &amp; (M$2 + 1+(6*24))))</f>
        <v>SI-157C18_P5317</v>
      </c>
      <c r="N9" s="20" t="str" cm="1">
        <f t="array" aca="1" ref="N9" ca="1">IF(INDIRECT("SamplePlate1!B" &amp; (N$2 + 1+(6*24)))="","",INDIRECT("SamplePlate1!B" &amp; (N$2 + 1+(6*24))))</f>
        <v>SI-83X1_P5364</v>
      </c>
      <c r="O9" s="20" t="str" cm="1">
        <f t="array" aca="1" ref="O9" ca="1">IF(INDIRECT("SamplePlate1!B" &amp; (O$2 + 1+(6*24)))="","",INDIRECT("SamplePlate1!B" &amp; (O$2 + 1+(6*24))))</f>
        <v>SI-157C19_P5365</v>
      </c>
      <c r="P9" s="20" t="str" cm="1">
        <f t="array" aca="1" ref="P9" ca="1">IF(INDIRECT("SamplePlate1!B" &amp; (P$2 + 1+(6*24)))="","",INDIRECT("SamplePlate1!B" &amp; (P$2 + 1+(6*24))))</f>
        <v>SI-157X47_P5533</v>
      </c>
      <c r="Q9" s="20" t="str" cm="1">
        <f t="array" aca="1" ref="Q9" ca="1">IF(INDIRECT("SamplePlate1!B" &amp; (Q$2 + 1+(6*24)))="","",INDIRECT("SamplePlate1!B" &amp; (Q$2 + 1+(6*24))))</f>
        <v>SI-157X56_P5534</v>
      </c>
      <c r="R9" s="20" t="str" cm="1">
        <f t="array" aca="1" ref="R9" ca="1">IF(INDIRECT("SamplePlate1!B" &amp; (R$2 + 1+(6*24)))="","",INDIRECT("SamplePlate1!B" &amp; (R$2 + 1+(6*24))))</f>
        <v>SI-157X61_P5535</v>
      </c>
      <c r="S9" s="20" t="str" cm="1">
        <f t="array" aca="1" ref="S9" ca="1">IF(INDIRECT("SamplePlate1!B" &amp; (S$2 + 1+(6*24)))="","",INDIRECT("SamplePlate1!B" &amp; (S$2 + 1+(6*24))))</f>
        <v>SI-157X62_P5536</v>
      </c>
      <c r="T9" s="20" t="str" cm="1">
        <f t="array" aca="1" ref="T9" ca="1">IF(INDIRECT("SamplePlate1!B" &amp; (T$2 + 1+(6*24)))="","",INDIRECT("SamplePlate1!B" &amp; (T$2 + 1+(6*24))))</f>
        <v>SI-157X63_P5537</v>
      </c>
      <c r="U9" s="20" t="str" cm="1">
        <f t="array" aca="1" ref="U9" ca="1">IF(INDIRECT("SamplePlate1!B" &amp; (U$2 + 1+(6*24)))="","",INDIRECT("SamplePlate1!B" &amp; (U$2 + 1+(6*24))))</f>
        <v>SI-157X64_P5538</v>
      </c>
      <c r="V9" s="20" t="str" cm="1">
        <f t="array" aca="1" ref="V9" ca="1">IF(INDIRECT("SamplePlate1!B" &amp; (V$2 + 1+(6*24)))="","",INDIRECT("SamplePlate1!B" &amp; (V$2 + 1+(6*24))))</f>
        <v>SI-157X49_P5563</v>
      </c>
      <c r="W9" s="20" t="str" cm="1">
        <f t="array" aca="1" ref="W9" ca="1">IF(INDIRECT("SamplePlate1!B" &amp; (W$2 + 1+(6*24)))="","",INDIRECT("SamplePlate1!B" &amp; (W$2 + 1+(6*24))))</f>
        <v>SI-157X50_P5564</v>
      </c>
      <c r="X9" s="20" t="str" cm="1">
        <f t="array" aca="1" ref="X9" ca="1">IF(INDIRECT("SamplePlate1!B" &amp; (X$2 + 1+(6*24)))="","",INDIRECT("SamplePlate1!B" &amp; (X$2 + 1+(6*24))))</f>
        <v>SI-157X53_P5565</v>
      </c>
      <c r="Y9" s="20" t="str" cm="1">
        <f t="array" aca="1" ref="Y9" ca="1">IF(INDIRECT("SamplePlate1!B" &amp; (Y$2 + 1+(6*24)))="","",INDIRECT("SamplePlate1!B" &amp; (Y$2 + 1+(6*24))))</f>
        <v>SI-157X57_P5566</v>
      </c>
    </row>
    <row r="10" spans="1:25" ht="44.25" customHeight="1" x14ac:dyDescent="0.25">
      <c r="A10" s="19" t="s">
        <v>441</v>
      </c>
      <c r="B10" s="20" t="str" cm="1">
        <f t="array" aca="1" ref="B10" ca="1">IF(INDIRECT("SamplePlate1!B" &amp; (B$2 + 1+(7*24)))="","",INDIRECT("SamplePlate1!B" &amp; (B$2 + 1+(7*24))))</f>
        <v>SI-157X65_P5567</v>
      </c>
      <c r="C10" s="20" t="str" cm="1">
        <f t="array" aca="1" ref="C10" ca="1">IF(INDIRECT("SamplePlate1!B" &amp; (C$2 + 1+(7*24)))="","",INDIRECT("SamplePlate1!B" &amp; (C$2 + 1+(7*24))))</f>
        <v>SI-157X66_P5568</v>
      </c>
      <c r="D10" s="20" t="str" cm="1">
        <f t="array" aca="1" ref="D10" ca="1">IF(INDIRECT("SamplePlate1!B" &amp; (D$2 + 1+(7*24)))="","",INDIRECT("SamplePlate1!B" &amp; (D$2 + 1+(7*24))))</f>
        <v>SI-157X67_P5569</v>
      </c>
      <c r="E10" s="20" t="str" cm="1">
        <f t="array" aca="1" ref="E10" ca="1">IF(INDIRECT("SamplePlate1!B" &amp; (E$2 + 1+(7*24)))="","",INDIRECT("SamplePlate1!B" &amp; (E$2 + 1+(7*24))))</f>
        <v>SI-157X68_P5570</v>
      </c>
      <c r="F10" s="20" t="str" cm="1">
        <f t="array" aca="1" ref="F10" ca="1">IF(INDIRECT("SamplePlate1!B" &amp; (F$2 + 1+(7*24)))="","",INDIRECT("SamplePlate1!B" &amp; (F$2 + 1+(7*24))))</f>
        <v>Glycine</v>
      </c>
      <c r="G10" s="20" t="str" cm="1">
        <f t="array" aca="1" ref="G10" ca="1">IF(INDIRECT("SamplePlate1!B" &amp; (G$2 + 1+(7*24)))="","",INDIRECT("SamplePlate1!B" &amp; (G$2 + 1+(7*24))))</f>
        <v>PBS</v>
      </c>
      <c r="H10" s="20" t="str" cm="1">
        <f t="array" aca="1" ref="H10" ca="1">IF(INDIRECT("SamplePlate1!B" &amp; (H$2 + 1+(7*24)))="","",INDIRECT("SamplePlate1!B" &amp; (H$2 + 1+(7*24))))</f>
        <v>Glycine</v>
      </c>
      <c r="I10" s="20" t="str" cm="1">
        <f t="array" aca="1" ref="I10" ca="1">IF(INDIRECT("SamplePlate1!B" &amp; (I$2 + 1+(7*24)))="","",INDIRECT("SamplePlate1!B" &amp; (I$2 + 1+(7*24))))</f>
        <v>PBS</v>
      </c>
      <c r="J10" s="20" t="str" cm="1">
        <f t="array" aca="1" ref="J10" ca="1">IF(INDIRECT("SamplePlate1!B" &amp; (J$2 + 1+(7*24)))="","",INDIRECT("SamplePlate1!B" &amp; (J$2 + 1+(7*24))))</f>
        <v/>
      </c>
      <c r="K10" s="20" t="str" cm="1">
        <f t="array" aca="1" ref="K10" ca="1">IF(INDIRECT("SamplePlate1!B" &amp; (K$2 + 1+(7*24)))="","",INDIRECT("SamplePlate1!B" &amp; (K$2 + 1+(7*24))))</f>
        <v/>
      </c>
      <c r="L10" s="20" t="str" cm="1">
        <f t="array" aca="1" ref="L10" ca="1">IF(INDIRECT("SamplePlate1!B" &amp; (L$2 + 1+(7*24)))="","",INDIRECT("SamplePlate1!B" &amp; (L$2 + 1+(7*24))))</f>
        <v/>
      </c>
      <c r="M10" s="20" t="str" cm="1">
        <f t="array" aca="1" ref="M10" ca="1">IF(INDIRECT("SamplePlate1!B" &amp; (M$2 + 1+(7*24)))="","",INDIRECT("SamplePlate1!B" &amp; (M$2 + 1+(7*24))))</f>
        <v/>
      </c>
      <c r="N10" s="20" t="str" cm="1">
        <f t="array" aca="1" ref="N10" ca="1">IF(INDIRECT("SamplePlate1!B" &amp; (N$2 + 1+(7*24)))="","",INDIRECT("SamplePlate1!B" &amp; (N$2 + 1+(7*24))))</f>
        <v/>
      </c>
      <c r="O10" s="20" t="str" cm="1">
        <f t="array" aca="1" ref="O10" ca="1">IF(INDIRECT("SamplePlate1!B" &amp; (O$2 + 1+(7*24)))="","",INDIRECT("SamplePlate1!B" &amp; (O$2 + 1+(7*24))))</f>
        <v/>
      </c>
      <c r="P10" s="20" t="str" cm="1">
        <f t="array" aca="1" ref="P10" ca="1">IF(INDIRECT("SamplePlate1!B" &amp; (P$2 + 1+(7*24)))="","",INDIRECT("SamplePlate1!B" &amp; (P$2 + 1+(7*24))))</f>
        <v/>
      </c>
      <c r="Q10" s="20" t="str" cm="1">
        <f t="array" aca="1" ref="Q10" ca="1">IF(INDIRECT("SamplePlate1!B" &amp; (Q$2 + 1+(7*24)))="","",INDIRECT("SamplePlate1!B" &amp; (Q$2 + 1+(7*24))))</f>
        <v/>
      </c>
      <c r="R10" s="20" t="str" cm="1">
        <f t="array" aca="1" ref="R10" ca="1">IF(INDIRECT("SamplePlate1!B" &amp; (R$2 + 1+(7*24)))="","",INDIRECT("SamplePlate1!B" &amp; (R$2 + 1+(7*24))))</f>
        <v/>
      </c>
      <c r="S10" s="20" t="str" cm="1">
        <f t="array" aca="1" ref="S10" ca="1">IF(INDIRECT("SamplePlate1!B" &amp; (S$2 + 1+(7*24)))="","",INDIRECT("SamplePlate1!B" &amp; (S$2 + 1+(7*24))))</f>
        <v/>
      </c>
      <c r="T10" s="20" t="str" cm="1">
        <f t="array" aca="1" ref="T10" ca="1">IF(INDIRECT("SamplePlate1!B" &amp; (T$2 + 1+(7*24)))="","",INDIRECT("SamplePlate1!B" &amp; (T$2 + 1+(7*24))))</f>
        <v/>
      </c>
      <c r="U10" s="20" t="str" cm="1">
        <f t="array" aca="1" ref="U10" ca="1">IF(INDIRECT("SamplePlate1!B" &amp; (U$2 + 1+(7*24)))="","",INDIRECT("SamplePlate1!B" &amp; (U$2 + 1+(7*24))))</f>
        <v/>
      </c>
      <c r="V10" s="20" t="str" cm="1">
        <f t="array" aca="1" ref="V10" ca="1">IF(INDIRECT("SamplePlate1!B" &amp; (V$2 + 1+(7*24)))="","",INDIRECT("SamplePlate1!B" &amp; (V$2 + 1+(7*24))))</f>
        <v/>
      </c>
      <c r="W10" s="20" t="str" cm="1">
        <f t="array" aca="1" ref="W10" ca="1">IF(INDIRECT("SamplePlate1!B" &amp; (W$2 + 1+(7*24)))="","",INDIRECT("SamplePlate1!B" &amp; (W$2 + 1+(7*24))))</f>
        <v/>
      </c>
      <c r="X10" s="20" t="str" cm="1">
        <f t="array" aca="1" ref="X10" ca="1">IF(INDIRECT("SamplePlate1!B" &amp; (X$2 + 1+(7*24)))="","",INDIRECT("SamplePlate1!B" &amp; (X$2 + 1+(7*24))))</f>
        <v/>
      </c>
      <c r="Y10" s="20" t="str" cm="1">
        <f t="array" aca="1" ref="Y10" ca="1">IF(INDIRECT("SamplePlate1!B" &amp; (Y$2 + 1+(7*24)))="","",INDIRECT("SamplePlate1!B" &amp; (Y$2 + 1+(7*24))))</f>
        <v/>
      </c>
    </row>
    <row r="11" spans="1:25" ht="44.25" customHeight="1" x14ac:dyDescent="0.25">
      <c r="A11" s="19" t="s">
        <v>442</v>
      </c>
      <c r="B11" s="20" t="str" cm="1">
        <f t="array" aca="1" ref="B11" ca="1">IF(INDIRECT("SamplePlate1!B" &amp; (B$2 + 1+(8*24)))="","",INDIRECT("SamplePlate1!B" &amp; (B$2 + 1+(8*24))))</f>
        <v>Octet Buffer</v>
      </c>
      <c r="C11" s="20" t="str" cm="1">
        <f t="array" aca="1" ref="C11" ca="1">IF(INDIRECT("SamplePlate1!B" &amp; (C$2 + 1+(8*24)))="","",INDIRECT("SamplePlate1!B" &amp; (C$2 + 1+(8*24))))</f>
        <v>hsCD3d/e_Acro_CDD-H52W1</v>
      </c>
      <c r="D11" s="20" t="str" cm="1">
        <f t="array" aca="1" ref="D11" ca="1">IF(INDIRECT("SamplePlate1!B" &amp; (D$2 + 1+(8*24)))="","",INDIRECT("SamplePlate1!B" &amp; (D$2 + 1+(8*24))))</f>
        <v>Octet Buffer</v>
      </c>
      <c r="E11" s="20" t="str" cm="1">
        <f t="array" aca="1" ref="E11" ca="1">IF(INDIRECT("SamplePlate1!B" &amp; (E$2 + 1+(8*24)))="","",INDIRECT("SamplePlate1!B" &amp; (E$2 + 1+(8*24))))</f>
        <v>hsCD3d/e_Acro_CDD-H52W1</v>
      </c>
      <c r="F11" s="20" t="str" cm="1">
        <f t="array" aca="1" ref="F11" ca="1">IF(INDIRECT("SamplePlate1!B" &amp; (F$2 + 1+(8*24)))="","",INDIRECT("SamplePlate1!B" &amp; (F$2 + 1+(8*24))))</f>
        <v>SI-157C11_P5158</v>
      </c>
      <c r="G11" s="20" t="str" cm="1">
        <f t="array" aca="1" ref="G11" ca="1">IF(INDIRECT("SamplePlate1!B" &amp; (G$2 + 1+(8*24)))="","",INDIRECT("SamplePlate1!B" &amp; (G$2 + 1+(8*24))))</f>
        <v>SI-157C12_P5159</v>
      </c>
      <c r="H11" s="20" t="str" cm="1">
        <f t="array" aca="1" ref="H11" ca="1">IF(INDIRECT("SamplePlate1!B" &amp; (H$2 + 1+(8*24)))="","",INDIRECT("SamplePlate1!B" &amp; (H$2 + 1+(8*24))))</f>
        <v>SI-157C13_P5198</v>
      </c>
      <c r="I11" s="20" t="str" cm="1">
        <f t="array" aca="1" ref="I11" ca="1">IF(INDIRECT("SamplePlate1!B" &amp; (I$2 + 1+(8*24)))="","",INDIRECT("SamplePlate1!B" &amp; (I$2 + 1+(8*24))))</f>
        <v>SI-157C14_P5199</v>
      </c>
      <c r="J11" s="20" t="str" cm="1">
        <f t="array" aca="1" ref="J11" ca="1">IF(INDIRECT("SamplePlate1!B" &amp; (J$2 + 1+(8*24)))="","",INDIRECT("SamplePlate1!B" &amp; (J$2 + 1+(8*24))))</f>
        <v>SI-157C15_P5235</v>
      </c>
      <c r="K11" s="20" t="str" cm="1">
        <f t="array" aca="1" ref="K11" ca="1">IF(INDIRECT("SamplePlate1!B" &amp; (K$2 + 1+(8*24)))="","",INDIRECT("SamplePlate1!B" &amp; (K$2 + 1+(8*24))))</f>
        <v>SI-157C16_P5236</v>
      </c>
      <c r="L11" s="20" t="str" cm="1">
        <f t="array" aca="1" ref="L11" ca="1">IF(INDIRECT("SamplePlate1!B" &amp; (L$2 + 1+(8*24)))="","",INDIRECT("SamplePlate1!B" &amp; (L$2 + 1+(8*24))))</f>
        <v>SI-157C17_P5237</v>
      </c>
      <c r="M11" s="20" t="str" cm="1">
        <f t="array" aca="1" ref="M11" ca="1">IF(INDIRECT("SamplePlate1!B" &amp; (M$2 + 1+(8*24)))="","",INDIRECT("SamplePlate1!B" &amp; (M$2 + 1+(8*24))))</f>
        <v>SI-157C18_P5317</v>
      </c>
      <c r="N11" s="20" t="str" cm="1">
        <f t="array" aca="1" ref="N11" ca="1">IF(INDIRECT("SamplePlate1!B" &amp; (N$2 + 1+(8*24)))="","",INDIRECT("SamplePlate1!B" &amp; (N$2 + 1+(8*24))))</f>
        <v>SI-83X1_P5364</v>
      </c>
      <c r="O11" s="20" t="str" cm="1">
        <f t="array" aca="1" ref="O11" ca="1">IF(INDIRECT("SamplePlate1!B" &amp; (O$2 + 1+(8*24)))="","",INDIRECT("SamplePlate1!B" &amp; (O$2 + 1+(8*24))))</f>
        <v>SI-157C19_P5365</v>
      </c>
      <c r="P11" s="20" t="str" cm="1">
        <f t="array" aca="1" ref="P11" ca="1">IF(INDIRECT("SamplePlate1!B" &amp; (P$2 + 1+(8*24)))="","",INDIRECT("SamplePlate1!B" &amp; (P$2 + 1+(8*24))))</f>
        <v>SI-157X47_P5533</v>
      </c>
      <c r="Q11" s="20" t="str" cm="1">
        <f t="array" aca="1" ref="Q11" ca="1">IF(INDIRECT("SamplePlate1!B" &amp; (Q$2 + 1+(8*24)))="","",INDIRECT("SamplePlate1!B" &amp; (Q$2 + 1+(8*24))))</f>
        <v>SI-157X56_P5534</v>
      </c>
      <c r="R11" s="20" t="str" cm="1">
        <f t="array" aca="1" ref="R11" ca="1">IF(INDIRECT("SamplePlate1!B" &amp; (R$2 + 1+(8*24)))="","",INDIRECT("SamplePlate1!B" &amp; (R$2 + 1+(8*24))))</f>
        <v>SI-157X61_P5535</v>
      </c>
      <c r="S11" s="20" t="str" cm="1">
        <f t="array" aca="1" ref="S11" ca="1">IF(INDIRECT("SamplePlate1!B" &amp; (S$2 + 1+(8*24)))="","",INDIRECT("SamplePlate1!B" &amp; (S$2 + 1+(8*24))))</f>
        <v>SI-157X62_P5536</v>
      </c>
      <c r="T11" s="20" t="str" cm="1">
        <f t="array" aca="1" ref="T11" ca="1">IF(INDIRECT("SamplePlate1!B" &amp; (T$2 + 1+(8*24)))="","",INDIRECT("SamplePlate1!B" &amp; (T$2 + 1+(8*24))))</f>
        <v>SI-157X63_P5537</v>
      </c>
      <c r="U11" s="20" t="str" cm="1">
        <f t="array" aca="1" ref="U11" ca="1">IF(INDIRECT("SamplePlate1!B" &amp; (U$2 + 1+(8*24)))="","",INDIRECT("SamplePlate1!B" &amp; (U$2 + 1+(8*24))))</f>
        <v>SI-157X64_P5538</v>
      </c>
      <c r="V11" s="20" t="str" cm="1">
        <f t="array" aca="1" ref="V11" ca="1">IF(INDIRECT("SamplePlate1!B" &amp; (V$2 + 1+(8*24)))="","",INDIRECT("SamplePlate1!B" &amp; (V$2 + 1+(8*24))))</f>
        <v>SI-157X49_P5563</v>
      </c>
      <c r="W11" s="20" t="str" cm="1">
        <f t="array" aca="1" ref="W11" ca="1">IF(INDIRECT("SamplePlate1!B" &amp; (W$2 + 1+(8*24)))="","",INDIRECT("SamplePlate1!B" &amp; (W$2 + 1+(8*24))))</f>
        <v>SI-157X50_P5564</v>
      </c>
      <c r="X11" s="20" t="str" cm="1">
        <f t="array" aca="1" ref="X11" ca="1">IF(INDIRECT("SamplePlate1!B" &amp; (X$2 + 1+(8*24)))="","",INDIRECT("SamplePlate1!B" &amp; (X$2 + 1+(8*24))))</f>
        <v>SI-157X53_P5565</v>
      </c>
      <c r="Y11" s="20" t="str" cm="1">
        <f t="array" aca="1" ref="Y11" ca="1">IF(INDIRECT("SamplePlate1!B" &amp; (Y$2 + 1+(8*24)))="","",INDIRECT("SamplePlate1!B" &amp; (Y$2 + 1+(8*24))))</f>
        <v>SI-157X57_P5566</v>
      </c>
    </row>
    <row r="12" spans="1:25" ht="44.25" customHeight="1" x14ac:dyDescent="0.25">
      <c r="A12" s="19" t="s">
        <v>443</v>
      </c>
      <c r="B12" s="20" t="str" cm="1">
        <f t="array" aca="1" ref="B12" ca="1">IF(INDIRECT("SamplePlate1!B" &amp; (B$2 + 1+(9*24)))="","",INDIRECT("SamplePlate1!B" &amp; (B$2 + 1+(9*24))))</f>
        <v>SI-157X65_P5567</v>
      </c>
      <c r="C12" s="20" t="str" cm="1">
        <f t="array" aca="1" ref="C12" ca="1">IF(INDIRECT("SamplePlate1!B" &amp; (C$2 + 1+(9*24)))="","",INDIRECT("SamplePlate1!B" &amp; (C$2 + 1+(9*24))))</f>
        <v>SI-157X66_P5568</v>
      </c>
      <c r="D12" s="20" t="str" cm="1">
        <f t="array" aca="1" ref="D12" ca="1">IF(INDIRECT("SamplePlate1!B" &amp; (D$2 + 1+(9*24)))="","",INDIRECT("SamplePlate1!B" &amp; (D$2 + 1+(9*24))))</f>
        <v>SI-157X67_P5569</v>
      </c>
      <c r="E12" s="20" t="str" cm="1">
        <f t="array" aca="1" ref="E12" ca="1">IF(INDIRECT("SamplePlate1!B" &amp; (E$2 + 1+(9*24)))="","",INDIRECT("SamplePlate1!B" &amp; (E$2 + 1+(9*24))))</f>
        <v>SI-157X68_P5570</v>
      </c>
      <c r="F12" s="20" t="str" cm="1">
        <f t="array" aca="1" ref="F12" ca="1">IF(INDIRECT("SamplePlate1!B" &amp; (F$2 + 1+(9*24)))="","",INDIRECT("SamplePlate1!B" &amp; (F$2 + 1+(9*24))))</f>
        <v>Glycine</v>
      </c>
      <c r="G12" s="20" t="str" cm="1">
        <f t="array" aca="1" ref="G12" ca="1">IF(INDIRECT("SamplePlate1!B" &amp; (G$2 + 1+(9*24)))="","",INDIRECT("SamplePlate1!B" &amp; (G$2 + 1+(9*24))))</f>
        <v>PBS</v>
      </c>
      <c r="H12" s="20" t="str" cm="1">
        <f t="array" aca="1" ref="H12" ca="1">IF(INDIRECT("SamplePlate1!B" &amp; (H$2 + 1+(9*24)))="","",INDIRECT("SamplePlate1!B" &amp; (H$2 + 1+(9*24))))</f>
        <v>Glycine</v>
      </c>
      <c r="I12" s="20" t="str" cm="1">
        <f t="array" aca="1" ref="I12" ca="1">IF(INDIRECT("SamplePlate1!B" &amp; (I$2 + 1+(9*24)))="","",INDIRECT("SamplePlate1!B" &amp; (I$2 + 1+(9*24))))</f>
        <v>PBS</v>
      </c>
      <c r="J12" s="20" t="str" cm="1">
        <f t="array" aca="1" ref="J12" ca="1">IF(INDIRECT("SamplePlate1!B" &amp; (J$2 + 1+(9*24)))="","",INDIRECT("SamplePlate1!B" &amp; (J$2 + 1+(9*24))))</f>
        <v/>
      </c>
      <c r="K12" s="20" t="str" cm="1">
        <f t="array" aca="1" ref="K12" ca="1">IF(INDIRECT("SamplePlate1!B" &amp; (K$2 + 1+(9*24)))="","",INDIRECT("SamplePlate1!B" &amp; (K$2 + 1+(9*24))))</f>
        <v/>
      </c>
      <c r="L12" s="20" t="str" cm="1">
        <f t="array" aca="1" ref="L12" ca="1">IF(INDIRECT("SamplePlate1!B" &amp; (L$2 + 1+(9*24)))="","",INDIRECT("SamplePlate1!B" &amp; (L$2 + 1+(9*24))))</f>
        <v/>
      </c>
      <c r="M12" s="20" t="str" cm="1">
        <f t="array" aca="1" ref="M12" ca="1">IF(INDIRECT("SamplePlate1!B" &amp; (M$2 + 1+(9*24)))="","",INDIRECT("SamplePlate1!B" &amp; (M$2 + 1+(9*24))))</f>
        <v/>
      </c>
      <c r="N12" s="20" t="str" cm="1">
        <f t="array" aca="1" ref="N12" ca="1">IF(INDIRECT("SamplePlate1!B" &amp; (N$2 + 1+(9*24)))="","",INDIRECT("SamplePlate1!B" &amp; (N$2 + 1+(9*24))))</f>
        <v/>
      </c>
      <c r="O12" s="20" t="str" cm="1">
        <f t="array" aca="1" ref="O12" ca="1">IF(INDIRECT("SamplePlate1!B" &amp; (O$2 + 1+(9*24)))="","",INDIRECT("SamplePlate1!B" &amp; (O$2 + 1+(9*24))))</f>
        <v/>
      </c>
      <c r="P12" s="20" t="str" cm="1">
        <f t="array" aca="1" ref="P12" ca="1">IF(INDIRECT("SamplePlate1!B" &amp; (P$2 + 1+(9*24)))="","",INDIRECT("SamplePlate1!B" &amp; (P$2 + 1+(9*24))))</f>
        <v/>
      </c>
      <c r="Q12" s="20" t="str" cm="1">
        <f t="array" aca="1" ref="Q12" ca="1">IF(INDIRECT("SamplePlate1!B" &amp; (Q$2 + 1+(9*24)))="","",INDIRECT("SamplePlate1!B" &amp; (Q$2 + 1+(9*24))))</f>
        <v/>
      </c>
      <c r="R12" s="20" t="str" cm="1">
        <f t="array" aca="1" ref="R12" ca="1">IF(INDIRECT("SamplePlate1!B" &amp; (R$2 + 1+(9*24)))="","",INDIRECT("SamplePlate1!B" &amp; (R$2 + 1+(9*24))))</f>
        <v/>
      </c>
      <c r="S12" s="20" t="str" cm="1">
        <f t="array" aca="1" ref="S12" ca="1">IF(INDIRECT("SamplePlate1!B" &amp; (S$2 + 1+(9*24)))="","",INDIRECT("SamplePlate1!B" &amp; (S$2 + 1+(9*24))))</f>
        <v/>
      </c>
      <c r="T12" s="20" t="str" cm="1">
        <f t="array" aca="1" ref="T12" ca="1">IF(INDIRECT("SamplePlate1!B" &amp; (T$2 + 1+(9*24)))="","",INDIRECT("SamplePlate1!B" &amp; (T$2 + 1+(9*24))))</f>
        <v/>
      </c>
      <c r="U12" s="20" t="str" cm="1">
        <f t="array" aca="1" ref="U12" ca="1">IF(INDIRECT("SamplePlate1!B" &amp; (U$2 + 1+(9*24)))="","",INDIRECT("SamplePlate1!B" &amp; (U$2 + 1+(9*24))))</f>
        <v/>
      </c>
      <c r="V12" s="20" t="str" cm="1">
        <f t="array" aca="1" ref="V12" ca="1">IF(INDIRECT("SamplePlate1!B" &amp; (V$2 + 1+(9*24)))="","",INDIRECT("SamplePlate1!B" &amp; (V$2 + 1+(9*24))))</f>
        <v/>
      </c>
      <c r="W12" s="20" t="str" cm="1">
        <f t="array" aca="1" ref="W12" ca="1">IF(INDIRECT("SamplePlate1!B" &amp; (W$2 + 1+(9*24)))="","",INDIRECT("SamplePlate1!B" &amp; (W$2 + 1+(9*24))))</f>
        <v/>
      </c>
      <c r="X12" s="20" t="str" cm="1">
        <f t="array" aca="1" ref="X12" ca="1">IF(INDIRECT("SamplePlate1!B" &amp; (X$2 + 1+(9*24)))="","",INDIRECT("SamplePlate1!B" &amp; (X$2 + 1+(9*24))))</f>
        <v/>
      </c>
      <c r="Y12" s="20" t="str" cm="1">
        <f t="array" aca="1" ref="Y12" ca="1">IF(INDIRECT("SamplePlate1!B" &amp; (Y$2 + 1+(9*24)))="","",INDIRECT("SamplePlate1!B" &amp; (Y$2 + 1+(9*24))))</f>
        <v/>
      </c>
    </row>
    <row r="13" spans="1:25" ht="44.25" customHeight="1" x14ac:dyDescent="0.25">
      <c r="A13" s="19" t="s">
        <v>444</v>
      </c>
      <c r="B13" s="20" t="str" cm="1">
        <f t="array" aca="1" ref="B13" ca="1">IF(INDIRECT("SamplePlate1!B" &amp; (B$2 + 1+(10*24)))="","",INDIRECT("SamplePlate1!B" &amp; (B$2 + 1+(10*24))))</f>
        <v>Octet Buffer</v>
      </c>
      <c r="C13" s="20" t="str" cm="1">
        <f t="array" aca="1" ref="C13" ca="1">IF(INDIRECT("SamplePlate1!B" &amp; (C$2 + 1+(10*24)))="","",INDIRECT("SamplePlate1!B" &amp; (C$2 + 1+(10*24))))</f>
        <v>hsCD3d/e_Acro_CDD-H52W1</v>
      </c>
      <c r="D13" s="20" t="str" cm="1">
        <f t="array" aca="1" ref="D13" ca="1">IF(INDIRECT("SamplePlate1!B" &amp; (D$2 + 1+(10*24)))="","",INDIRECT("SamplePlate1!B" &amp; (D$2 + 1+(10*24))))</f>
        <v>Octet Buffer</v>
      </c>
      <c r="E13" s="20" t="str" cm="1">
        <f t="array" aca="1" ref="E13" ca="1">IF(INDIRECT("SamplePlate1!B" &amp; (E$2 + 1+(10*24)))="","",INDIRECT("SamplePlate1!B" &amp; (E$2 + 1+(10*24))))</f>
        <v>hsCD3d/e_Acro_CDD-H52W1</v>
      </c>
      <c r="F13" s="20" t="str" cm="1">
        <f t="array" aca="1" ref="F13" ca="1">IF(INDIRECT("SamplePlate1!B" &amp; (F$2 + 1+(10*24)))="","",INDIRECT("SamplePlate1!B" &amp; (F$2 + 1+(10*24))))</f>
        <v>SI-157C11_P5158</v>
      </c>
      <c r="G13" s="20" t="str" cm="1">
        <f t="array" aca="1" ref="G13" ca="1">IF(INDIRECT("SamplePlate1!B" &amp; (G$2 + 1+(10*24)))="","",INDIRECT("SamplePlate1!B" &amp; (G$2 + 1+(10*24))))</f>
        <v>SI-157C12_P5159</v>
      </c>
      <c r="H13" s="20" t="str" cm="1">
        <f t="array" aca="1" ref="H13" ca="1">IF(INDIRECT("SamplePlate1!B" &amp; (H$2 + 1+(10*24)))="","",INDIRECT("SamplePlate1!B" &amp; (H$2 + 1+(10*24))))</f>
        <v>SI-157C13_P5198</v>
      </c>
      <c r="I13" s="20" t="str" cm="1">
        <f t="array" aca="1" ref="I13" ca="1">IF(INDIRECT("SamplePlate1!B" &amp; (I$2 + 1+(10*24)))="","",INDIRECT("SamplePlate1!B" &amp; (I$2 + 1+(10*24))))</f>
        <v>SI-157C14_P5199</v>
      </c>
      <c r="J13" s="20" t="str" cm="1">
        <f t="array" aca="1" ref="J13" ca="1">IF(INDIRECT("SamplePlate1!B" &amp; (J$2 + 1+(10*24)))="","",INDIRECT("SamplePlate1!B" &amp; (J$2 + 1+(10*24))))</f>
        <v>SI-157C15_P5235</v>
      </c>
      <c r="K13" s="20" t="str" cm="1">
        <f t="array" aca="1" ref="K13" ca="1">IF(INDIRECT("SamplePlate1!B" &amp; (K$2 + 1+(10*24)))="","",INDIRECT("SamplePlate1!B" &amp; (K$2 + 1+(10*24))))</f>
        <v>SI-157C16_P5236</v>
      </c>
      <c r="L13" s="20" t="str" cm="1">
        <f t="array" aca="1" ref="L13" ca="1">IF(INDIRECT("SamplePlate1!B" &amp; (L$2 + 1+(10*24)))="","",INDIRECT("SamplePlate1!B" &amp; (L$2 + 1+(10*24))))</f>
        <v>SI-157C17_P5237</v>
      </c>
      <c r="M13" s="20" t="str" cm="1">
        <f t="array" aca="1" ref="M13" ca="1">IF(INDIRECT("SamplePlate1!B" &amp; (M$2 + 1+(10*24)))="","",INDIRECT("SamplePlate1!B" &amp; (M$2 + 1+(10*24))))</f>
        <v>SI-157C18_P5317</v>
      </c>
      <c r="N13" s="20" t="str" cm="1">
        <f t="array" aca="1" ref="N13" ca="1">IF(INDIRECT("SamplePlate1!B" &amp; (N$2 + 1+(10*24)))="","",INDIRECT("SamplePlate1!B" &amp; (N$2 + 1+(10*24))))</f>
        <v>SI-83X1_P5364</v>
      </c>
      <c r="O13" s="20" t="str" cm="1">
        <f t="array" aca="1" ref="O13" ca="1">IF(INDIRECT("SamplePlate1!B" &amp; (O$2 + 1+(10*24)))="","",INDIRECT("SamplePlate1!B" &amp; (O$2 + 1+(10*24))))</f>
        <v>SI-157C19_P5365</v>
      </c>
      <c r="P13" s="20" t="str" cm="1">
        <f t="array" aca="1" ref="P13" ca="1">IF(INDIRECT("SamplePlate1!B" &amp; (P$2 + 1+(10*24)))="","",INDIRECT("SamplePlate1!B" &amp; (P$2 + 1+(10*24))))</f>
        <v>SI-157X47_P5533</v>
      </c>
      <c r="Q13" s="20" t="str" cm="1">
        <f t="array" aca="1" ref="Q13" ca="1">IF(INDIRECT("SamplePlate1!B" &amp; (Q$2 + 1+(10*24)))="","",INDIRECT("SamplePlate1!B" &amp; (Q$2 + 1+(10*24))))</f>
        <v>SI-157X56_P5534</v>
      </c>
      <c r="R13" s="20" t="str" cm="1">
        <f t="array" aca="1" ref="R13" ca="1">IF(INDIRECT("SamplePlate1!B" &amp; (R$2 + 1+(10*24)))="","",INDIRECT("SamplePlate1!B" &amp; (R$2 + 1+(10*24))))</f>
        <v>SI-157X61_P5535</v>
      </c>
      <c r="S13" s="20" t="str" cm="1">
        <f t="array" aca="1" ref="S13" ca="1">IF(INDIRECT("SamplePlate1!B" &amp; (S$2 + 1+(10*24)))="","",INDIRECT("SamplePlate1!B" &amp; (S$2 + 1+(10*24))))</f>
        <v>SI-157X62_P5536</v>
      </c>
      <c r="T13" s="20" t="str" cm="1">
        <f t="array" aca="1" ref="T13" ca="1">IF(INDIRECT("SamplePlate1!B" &amp; (T$2 + 1+(10*24)))="","",INDIRECT("SamplePlate1!B" &amp; (T$2 + 1+(10*24))))</f>
        <v>SI-157X63_P5537</v>
      </c>
      <c r="U13" s="20" t="str" cm="1">
        <f t="array" aca="1" ref="U13" ca="1">IF(INDIRECT("SamplePlate1!B" &amp; (U$2 + 1+(10*24)))="","",INDIRECT("SamplePlate1!B" &amp; (U$2 + 1+(10*24))))</f>
        <v>SI-157X64_P5538</v>
      </c>
      <c r="V13" s="20" t="str" cm="1">
        <f t="array" aca="1" ref="V13" ca="1">IF(INDIRECT("SamplePlate1!B" &amp; (V$2 + 1+(10*24)))="","",INDIRECT("SamplePlate1!B" &amp; (V$2 + 1+(10*24))))</f>
        <v>SI-157X49_P5563</v>
      </c>
      <c r="W13" s="20" t="str" cm="1">
        <f t="array" aca="1" ref="W13" ca="1">IF(INDIRECT("SamplePlate1!B" &amp; (W$2 + 1+(10*24)))="","",INDIRECT("SamplePlate1!B" &amp; (W$2 + 1+(10*24))))</f>
        <v>SI-157X50_P5564</v>
      </c>
      <c r="X13" s="20" t="str" cm="1">
        <f t="array" aca="1" ref="X13" ca="1">IF(INDIRECT("SamplePlate1!B" &amp; (X$2 + 1+(10*24)))="","",INDIRECT("SamplePlate1!B" &amp; (X$2 + 1+(10*24))))</f>
        <v>SI-157X53_P5565</v>
      </c>
      <c r="Y13" s="20" t="str" cm="1">
        <f t="array" aca="1" ref="Y13" ca="1">IF(INDIRECT("SamplePlate1!B" &amp; (Y$2 + 1+(10*24)))="","",INDIRECT("SamplePlate1!B" &amp; (Y$2 + 1+(10*24))))</f>
        <v>SI-157X57_P5566</v>
      </c>
    </row>
    <row r="14" spans="1:25" ht="44.25" customHeight="1" x14ac:dyDescent="0.25">
      <c r="A14" s="19" t="s">
        <v>445</v>
      </c>
      <c r="B14" s="20" t="str" cm="1">
        <f t="array" aca="1" ref="B14" ca="1">IF(INDIRECT("SamplePlate1!B" &amp; (B$2 + 1+(11*24)))="","",INDIRECT("SamplePlate1!B" &amp; (B$2 + 1+(11*24))))</f>
        <v>SI-157X65_P5567</v>
      </c>
      <c r="C14" s="20" t="str" cm="1">
        <f t="array" aca="1" ref="C14" ca="1">IF(INDIRECT("SamplePlate1!B" &amp; (C$2 + 1+(11*24)))="","",INDIRECT("SamplePlate1!B" &amp; (C$2 + 1+(11*24))))</f>
        <v>SI-157X66_P5568</v>
      </c>
      <c r="D14" s="20" t="str" cm="1">
        <f t="array" aca="1" ref="D14" ca="1">IF(INDIRECT("SamplePlate1!B" &amp; (D$2 + 1+(11*24)))="","",INDIRECT("SamplePlate1!B" &amp; (D$2 + 1+(11*24))))</f>
        <v>SI-157X67_P5569</v>
      </c>
      <c r="E14" s="20" t="str" cm="1">
        <f t="array" aca="1" ref="E14" ca="1">IF(INDIRECT("SamplePlate1!B" &amp; (E$2 + 1+(11*24)))="","",INDIRECT("SamplePlate1!B" &amp; (E$2 + 1+(11*24))))</f>
        <v>SI-157X68_P5570</v>
      </c>
      <c r="F14" s="20" t="str" cm="1">
        <f t="array" aca="1" ref="F14" ca="1">IF(INDIRECT("SamplePlate1!B" &amp; (F$2 + 1+(11*24)))="","",INDIRECT("SamplePlate1!B" &amp; (F$2 + 1+(11*24))))</f>
        <v>Glycine</v>
      </c>
      <c r="G14" s="20" t="str" cm="1">
        <f t="array" aca="1" ref="G14" ca="1">IF(INDIRECT("SamplePlate1!B" &amp; (G$2 + 1+(11*24)))="","",INDIRECT("SamplePlate1!B" &amp; (G$2 + 1+(11*24))))</f>
        <v>PBS</v>
      </c>
      <c r="H14" s="20" t="str" cm="1">
        <f t="array" aca="1" ref="H14" ca="1">IF(INDIRECT("SamplePlate1!B" &amp; (H$2 + 1+(11*24)))="","",INDIRECT("SamplePlate1!B" &amp; (H$2 + 1+(11*24))))</f>
        <v>Glycine</v>
      </c>
      <c r="I14" s="20" t="str" cm="1">
        <f t="array" aca="1" ref="I14" ca="1">IF(INDIRECT("SamplePlate1!B" &amp; (I$2 + 1+(11*24)))="","",INDIRECT("SamplePlate1!B" &amp; (I$2 + 1+(11*24))))</f>
        <v>PBS</v>
      </c>
      <c r="J14" s="20" t="str" cm="1">
        <f t="array" aca="1" ref="J14" ca="1">IF(INDIRECT("SamplePlate1!B" &amp; (J$2 + 1+(11*24)))="","",INDIRECT("SamplePlate1!B" &amp; (J$2 + 1+(11*24))))</f>
        <v/>
      </c>
      <c r="K14" s="20" t="str" cm="1">
        <f t="array" aca="1" ref="K14" ca="1">IF(INDIRECT("SamplePlate1!B" &amp; (K$2 + 1+(11*24)))="","",INDIRECT("SamplePlate1!B" &amp; (K$2 + 1+(11*24))))</f>
        <v/>
      </c>
      <c r="L14" s="20" t="str" cm="1">
        <f t="array" aca="1" ref="L14" ca="1">IF(INDIRECT("SamplePlate1!B" &amp; (L$2 + 1+(11*24)))="","",INDIRECT("SamplePlate1!B" &amp; (L$2 + 1+(11*24))))</f>
        <v/>
      </c>
      <c r="M14" s="20" t="str" cm="1">
        <f t="array" aca="1" ref="M14" ca="1">IF(INDIRECT("SamplePlate1!B" &amp; (M$2 + 1+(11*24)))="","",INDIRECT("SamplePlate1!B" &amp; (M$2 + 1+(11*24))))</f>
        <v/>
      </c>
      <c r="N14" s="20" t="str" cm="1">
        <f t="array" aca="1" ref="N14" ca="1">IF(INDIRECT("SamplePlate1!B" &amp; (N$2 + 1+(11*24)))="","",INDIRECT("SamplePlate1!B" &amp; (N$2 + 1+(11*24))))</f>
        <v/>
      </c>
      <c r="O14" s="20" t="str" cm="1">
        <f t="array" aca="1" ref="O14" ca="1">IF(INDIRECT("SamplePlate1!B" &amp; (O$2 + 1+(11*24)))="","",INDIRECT("SamplePlate1!B" &amp; (O$2 + 1+(11*24))))</f>
        <v/>
      </c>
      <c r="P14" s="20" t="str" cm="1">
        <f t="array" aca="1" ref="P14" ca="1">IF(INDIRECT("SamplePlate1!B" &amp; (P$2 + 1+(11*24)))="","",INDIRECT("SamplePlate1!B" &amp; (P$2 + 1+(11*24))))</f>
        <v/>
      </c>
      <c r="Q14" s="20" t="str" cm="1">
        <f t="array" aca="1" ref="Q14" ca="1">IF(INDIRECT("SamplePlate1!B" &amp; (Q$2 + 1+(11*24)))="","",INDIRECT("SamplePlate1!B" &amp; (Q$2 + 1+(11*24))))</f>
        <v/>
      </c>
      <c r="R14" s="20" t="str" cm="1">
        <f t="array" aca="1" ref="R14" ca="1">IF(INDIRECT("SamplePlate1!B" &amp; (R$2 + 1+(11*24)))="","",INDIRECT("SamplePlate1!B" &amp; (R$2 + 1+(11*24))))</f>
        <v/>
      </c>
      <c r="S14" s="20" t="str" cm="1">
        <f t="array" aca="1" ref="S14" ca="1">IF(INDIRECT("SamplePlate1!B" &amp; (S$2 + 1+(11*24)))="","",INDIRECT("SamplePlate1!B" &amp; (S$2 + 1+(11*24))))</f>
        <v/>
      </c>
      <c r="T14" s="20" t="str" cm="1">
        <f t="array" aca="1" ref="T14" ca="1">IF(INDIRECT("SamplePlate1!B" &amp; (T$2 + 1+(11*24)))="","",INDIRECT("SamplePlate1!B" &amp; (T$2 + 1+(11*24))))</f>
        <v/>
      </c>
      <c r="U14" s="20" t="str" cm="1">
        <f t="array" aca="1" ref="U14" ca="1">IF(INDIRECT("SamplePlate1!B" &amp; (U$2 + 1+(11*24)))="","",INDIRECT("SamplePlate1!B" &amp; (U$2 + 1+(11*24))))</f>
        <v/>
      </c>
      <c r="V14" s="20" t="str" cm="1">
        <f t="array" aca="1" ref="V14" ca="1">IF(INDIRECT("SamplePlate1!B" &amp; (V$2 + 1+(11*24)))="","",INDIRECT("SamplePlate1!B" &amp; (V$2 + 1+(11*24))))</f>
        <v/>
      </c>
      <c r="W14" s="20" t="str" cm="1">
        <f t="array" aca="1" ref="W14" ca="1">IF(INDIRECT("SamplePlate1!B" &amp; (W$2 + 1+(11*24)))="","",INDIRECT("SamplePlate1!B" &amp; (W$2 + 1+(11*24))))</f>
        <v/>
      </c>
      <c r="X14" s="20" t="str" cm="1">
        <f t="array" aca="1" ref="X14" ca="1">IF(INDIRECT("SamplePlate1!B" &amp; (X$2 + 1+(11*24)))="","",INDIRECT("SamplePlate1!B" &amp; (X$2 + 1+(11*24))))</f>
        <v/>
      </c>
      <c r="Y14" s="20" t="str" cm="1">
        <f t="array" aca="1" ref="Y14" ca="1">IF(INDIRECT("SamplePlate1!B" &amp; (Y$2 + 1+(11*24)))="","",INDIRECT("SamplePlate1!B" &amp; (Y$2 + 1+(11*24))))</f>
        <v/>
      </c>
    </row>
    <row r="15" spans="1:25" ht="44.25" customHeight="1" x14ac:dyDescent="0.25">
      <c r="A15" s="19" t="s">
        <v>446</v>
      </c>
      <c r="B15" s="20" t="str" cm="1">
        <f t="array" aca="1" ref="B15" ca="1">IF(INDIRECT("SamplePlate1!B" &amp; (B$2 + 1+(12*24)))="","",INDIRECT("SamplePlate1!B" &amp; (B$2 + 1+(12*24))))</f>
        <v>Octet Buffer</v>
      </c>
      <c r="C15" s="20" t="str" cm="1">
        <f t="array" aca="1" ref="C15" ca="1">IF(INDIRECT("SamplePlate1!B" &amp; (C$2 + 1+(12*24)))="","",INDIRECT("SamplePlate1!B" &amp; (C$2 + 1+(12*24))))</f>
        <v>hsCD3d/e_Acro_CDD-H52W1</v>
      </c>
      <c r="D15" s="20" t="str" cm="1">
        <f t="array" aca="1" ref="D15" ca="1">IF(INDIRECT("SamplePlate1!B" &amp; (D$2 + 1+(12*24)))="","",INDIRECT("SamplePlate1!B" &amp; (D$2 + 1+(12*24))))</f>
        <v>Octet Buffer</v>
      </c>
      <c r="E15" s="20" t="str" cm="1">
        <f t="array" aca="1" ref="E15" ca="1">IF(INDIRECT("SamplePlate1!B" &amp; (E$2 + 1+(12*24)))="","",INDIRECT("SamplePlate1!B" &amp; (E$2 + 1+(12*24))))</f>
        <v>hsCD3d/e_Acro_CDD-H52W1</v>
      </c>
      <c r="F15" s="20" t="str" cm="1">
        <f t="array" aca="1" ref="F15" ca="1">IF(INDIRECT("SamplePlate1!B" &amp; (F$2 + 1+(12*24)))="","",INDIRECT("SamplePlate1!B" &amp; (F$2 + 1+(12*24))))</f>
        <v>SI-157C11_P5158</v>
      </c>
      <c r="G15" s="20" t="str" cm="1">
        <f t="array" aca="1" ref="G15" ca="1">IF(INDIRECT("SamplePlate1!B" &amp; (G$2 + 1+(12*24)))="","",INDIRECT("SamplePlate1!B" &amp; (G$2 + 1+(12*24))))</f>
        <v>SI-157C12_P5159</v>
      </c>
      <c r="H15" s="20" t="str" cm="1">
        <f t="array" aca="1" ref="H15" ca="1">IF(INDIRECT("SamplePlate1!B" &amp; (H$2 + 1+(12*24)))="","",INDIRECT("SamplePlate1!B" &amp; (H$2 + 1+(12*24))))</f>
        <v>SI-157C13_P5198</v>
      </c>
      <c r="I15" s="20" t="str" cm="1">
        <f t="array" aca="1" ref="I15" ca="1">IF(INDIRECT("SamplePlate1!B" &amp; (I$2 + 1+(12*24)))="","",INDIRECT("SamplePlate1!B" &amp; (I$2 + 1+(12*24))))</f>
        <v>SI-157C14_P5199</v>
      </c>
      <c r="J15" s="20" t="str" cm="1">
        <f t="array" aca="1" ref="J15" ca="1">IF(INDIRECT("SamplePlate1!B" &amp; (J$2 + 1+(12*24)))="","",INDIRECT("SamplePlate1!B" &amp; (J$2 + 1+(12*24))))</f>
        <v>SI-157C15_P5235</v>
      </c>
      <c r="K15" s="20" t="str" cm="1">
        <f t="array" aca="1" ref="K15" ca="1">IF(INDIRECT("SamplePlate1!B" &amp; (K$2 + 1+(12*24)))="","",INDIRECT("SamplePlate1!B" &amp; (K$2 + 1+(12*24))))</f>
        <v>SI-157C16_P5236</v>
      </c>
      <c r="L15" s="20" t="str" cm="1">
        <f t="array" aca="1" ref="L15" ca="1">IF(INDIRECT("SamplePlate1!B" &amp; (L$2 + 1+(12*24)))="","",INDIRECT("SamplePlate1!B" &amp; (L$2 + 1+(12*24))))</f>
        <v>SI-157C17_P5237</v>
      </c>
      <c r="M15" s="20" t="str" cm="1">
        <f t="array" aca="1" ref="M15" ca="1">IF(INDIRECT("SamplePlate1!B" &amp; (M$2 + 1+(12*24)))="","",INDIRECT("SamplePlate1!B" &amp; (M$2 + 1+(12*24))))</f>
        <v>SI-157C18_P5317</v>
      </c>
      <c r="N15" s="20" t="str" cm="1">
        <f t="array" aca="1" ref="N15" ca="1">IF(INDIRECT("SamplePlate1!B" &amp; (N$2 + 1+(12*24)))="","",INDIRECT("SamplePlate1!B" &amp; (N$2 + 1+(12*24))))</f>
        <v>SI-83X1_P5364</v>
      </c>
      <c r="O15" s="20" t="str" cm="1">
        <f t="array" aca="1" ref="O15" ca="1">IF(INDIRECT("SamplePlate1!B" &amp; (O$2 + 1+(12*24)))="","",INDIRECT("SamplePlate1!B" &amp; (O$2 + 1+(12*24))))</f>
        <v>SI-157C19_P5365</v>
      </c>
      <c r="P15" s="20" t="str" cm="1">
        <f t="array" aca="1" ref="P15" ca="1">IF(INDIRECT("SamplePlate1!B" &amp; (P$2 + 1+(12*24)))="","",INDIRECT("SamplePlate1!B" &amp; (P$2 + 1+(12*24))))</f>
        <v>SI-157X47_P5533</v>
      </c>
      <c r="Q15" s="20" t="str" cm="1">
        <f t="array" aca="1" ref="Q15" ca="1">IF(INDIRECT("SamplePlate1!B" &amp; (Q$2 + 1+(12*24)))="","",INDIRECT("SamplePlate1!B" &amp; (Q$2 + 1+(12*24))))</f>
        <v>SI-157X56_P5534</v>
      </c>
      <c r="R15" s="20" t="str" cm="1">
        <f t="array" aca="1" ref="R15" ca="1">IF(INDIRECT("SamplePlate1!B" &amp; (R$2 + 1+(12*24)))="","",INDIRECT("SamplePlate1!B" &amp; (R$2 + 1+(12*24))))</f>
        <v>SI-157X61_P5535</v>
      </c>
      <c r="S15" s="20" t="str" cm="1">
        <f t="array" aca="1" ref="S15" ca="1">IF(INDIRECT("SamplePlate1!B" &amp; (S$2 + 1+(12*24)))="","",INDIRECT("SamplePlate1!B" &amp; (S$2 + 1+(12*24))))</f>
        <v>SI-157X62_P5536</v>
      </c>
      <c r="T15" s="20" t="str" cm="1">
        <f t="array" aca="1" ref="T15" ca="1">IF(INDIRECT("SamplePlate1!B" &amp; (T$2 + 1+(12*24)))="","",INDIRECT("SamplePlate1!B" &amp; (T$2 + 1+(12*24))))</f>
        <v>SI-157X63_P5537</v>
      </c>
      <c r="U15" s="20" t="str" cm="1">
        <f t="array" aca="1" ref="U15" ca="1">IF(INDIRECT("SamplePlate1!B" &amp; (U$2 + 1+(12*24)))="","",INDIRECT("SamplePlate1!B" &amp; (U$2 + 1+(12*24))))</f>
        <v>SI-157X64_P5538</v>
      </c>
      <c r="V15" s="20" t="str" cm="1">
        <f t="array" aca="1" ref="V15" ca="1">IF(INDIRECT("SamplePlate1!B" &amp; (V$2 + 1+(12*24)))="","",INDIRECT("SamplePlate1!B" &amp; (V$2 + 1+(12*24))))</f>
        <v>SI-157X49_P5563</v>
      </c>
      <c r="W15" s="20" t="str" cm="1">
        <f t="array" aca="1" ref="W15" ca="1">IF(INDIRECT("SamplePlate1!B" &amp; (W$2 + 1+(12*24)))="","",INDIRECT("SamplePlate1!B" &amp; (W$2 + 1+(12*24))))</f>
        <v>SI-157X50_P5564</v>
      </c>
      <c r="X15" s="20" t="str" cm="1">
        <f t="array" aca="1" ref="X15" ca="1">IF(INDIRECT("SamplePlate1!B" &amp; (X$2 + 1+(12*24)))="","",INDIRECT("SamplePlate1!B" &amp; (X$2 + 1+(12*24))))</f>
        <v>SI-157X53_P5565</v>
      </c>
      <c r="Y15" s="20" t="str" cm="1">
        <f t="array" aca="1" ref="Y15" ca="1">IF(INDIRECT("SamplePlate1!B" &amp; (Y$2 + 1+(12*24)))="","",INDIRECT("SamplePlate1!B" &amp; (Y$2 + 1+(12*24))))</f>
        <v>SI-157X57_P5566</v>
      </c>
    </row>
    <row r="16" spans="1:25" ht="44.25" customHeight="1" x14ac:dyDescent="0.25">
      <c r="A16" s="19" t="s">
        <v>447</v>
      </c>
      <c r="B16" s="20" t="str" cm="1">
        <f t="array" aca="1" ref="B16" ca="1">IF(INDIRECT("SamplePlate1!B" &amp; (B$2 + 1+(13*24)))="","",INDIRECT("SamplePlate1!B" &amp; (B$2 + 1+(13*24))))</f>
        <v>SI-157X65_P5567</v>
      </c>
      <c r="C16" s="20" t="str" cm="1">
        <f t="array" aca="1" ref="C16" ca="1">IF(INDIRECT("SamplePlate1!B" &amp; (C$2 + 1+(13*24)))="","",INDIRECT("SamplePlate1!B" &amp; (C$2 + 1+(13*24))))</f>
        <v>SI-157X66_P5568</v>
      </c>
      <c r="D16" s="20" t="str" cm="1">
        <f t="array" aca="1" ref="D16" ca="1">IF(INDIRECT("SamplePlate1!B" &amp; (D$2 + 1+(13*24)))="","",INDIRECT("SamplePlate1!B" &amp; (D$2 + 1+(13*24))))</f>
        <v>SI-157X67_P5569</v>
      </c>
      <c r="E16" s="20" t="str" cm="1">
        <f t="array" aca="1" ref="E16" ca="1">IF(INDIRECT("SamplePlate1!B" &amp; (E$2 + 1+(13*24)))="","",INDIRECT("SamplePlate1!B" &amp; (E$2 + 1+(13*24))))</f>
        <v>SI-157X68_P5570</v>
      </c>
      <c r="F16" s="20" t="str" cm="1">
        <f t="array" aca="1" ref="F16" ca="1">IF(INDIRECT("SamplePlate1!B" &amp; (F$2 + 1+(13*24)))="","",INDIRECT("SamplePlate1!B" &amp; (F$2 + 1+(13*24))))</f>
        <v>Glycine</v>
      </c>
      <c r="G16" s="20" t="str" cm="1">
        <f t="array" aca="1" ref="G16" ca="1">IF(INDIRECT("SamplePlate1!B" &amp; (G$2 + 1+(13*24)))="","",INDIRECT("SamplePlate1!B" &amp; (G$2 + 1+(13*24))))</f>
        <v>PBS</v>
      </c>
      <c r="H16" s="20" t="str" cm="1">
        <f t="array" aca="1" ref="H16" ca="1">IF(INDIRECT("SamplePlate1!B" &amp; (H$2 + 1+(13*24)))="","",INDIRECT("SamplePlate1!B" &amp; (H$2 + 1+(13*24))))</f>
        <v>Glycine</v>
      </c>
      <c r="I16" s="20" t="str" cm="1">
        <f t="array" aca="1" ref="I16" ca="1">IF(INDIRECT("SamplePlate1!B" &amp; (I$2 + 1+(13*24)))="","",INDIRECT("SamplePlate1!B" &amp; (I$2 + 1+(13*24))))</f>
        <v>PBS</v>
      </c>
      <c r="J16" s="20" t="str" cm="1">
        <f t="array" aca="1" ref="J16" ca="1">IF(INDIRECT("SamplePlate1!B" &amp; (J$2 + 1+(13*24)))="","",INDIRECT("SamplePlate1!B" &amp; (J$2 + 1+(13*24))))</f>
        <v/>
      </c>
      <c r="K16" s="20" t="str" cm="1">
        <f t="array" aca="1" ref="K16" ca="1">IF(INDIRECT("SamplePlate1!B" &amp; (K$2 + 1+(13*24)))="","",INDIRECT("SamplePlate1!B" &amp; (K$2 + 1+(13*24))))</f>
        <v/>
      </c>
      <c r="L16" s="20" t="str" cm="1">
        <f t="array" aca="1" ref="L16" ca="1">IF(INDIRECT("SamplePlate1!B" &amp; (L$2 + 1+(13*24)))="","",INDIRECT("SamplePlate1!B" &amp; (L$2 + 1+(13*24))))</f>
        <v/>
      </c>
      <c r="M16" s="20" t="str" cm="1">
        <f t="array" aca="1" ref="M16" ca="1">IF(INDIRECT("SamplePlate1!B" &amp; (M$2 + 1+(13*24)))="","",INDIRECT("SamplePlate1!B" &amp; (M$2 + 1+(13*24))))</f>
        <v/>
      </c>
      <c r="N16" s="20" t="str" cm="1">
        <f t="array" aca="1" ref="N16" ca="1">IF(INDIRECT("SamplePlate1!B" &amp; (N$2 + 1+(13*24)))="","",INDIRECT("SamplePlate1!B" &amp; (N$2 + 1+(13*24))))</f>
        <v/>
      </c>
      <c r="O16" s="20" t="str" cm="1">
        <f t="array" aca="1" ref="O16" ca="1">IF(INDIRECT("SamplePlate1!B" &amp; (O$2 + 1+(13*24)))="","",INDIRECT("SamplePlate1!B" &amp; (O$2 + 1+(13*24))))</f>
        <v/>
      </c>
      <c r="P16" s="20" t="str" cm="1">
        <f t="array" aca="1" ref="P16" ca="1">IF(INDIRECT("SamplePlate1!B" &amp; (P$2 + 1+(13*24)))="","",INDIRECT("SamplePlate1!B" &amp; (P$2 + 1+(13*24))))</f>
        <v/>
      </c>
      <c r="Q16" s="20" t="str" cm="1">
        <f t="array" aca="1" ref="Q16" ca="1">IF(INDIRECT("SamplePlate1!B" &amp; (Q$2 + 1+(13*24)))="","",INDIRECT("SamplePlate1!B" &amp; (Q$2 + 1+(13*24))))</f>
        <v/>
      </c>
      <c r="R16" s="20" t="str" cm="1">
        <f t="array" aca="1" ref="R16" ca="1">IF(INDIRECT("SamplePlate1!B" &amp; (R$2 + 1+(13*24)))="","",INDIRECT("SamplePlate1!B" &amp; (R$2 + 1+(13*24))))</f>
        <v/>
      </c>
      <c r="S16" s="20" t="str" cm="1">
        <f t="array" aca="1" ref="S16" ca="1">IF(INDIRECT("SamplePlate1!B" &amp; (S$2 + 1+(13*24)))="","",INDIRECT("SamplePlate1!B" &amp; (S$2 + 1+(13*24))))</f>
        <v/>
      </c>
      <c r="T16" s="20" t="str" cm="1">
        <f t="array" aca="1" ref="T16" ca="1">IF(INDIRECT("SamplePlate1!B" &amp; (T$2 + 1+(13*24)))="","",INDIRECT("SamplePlate1!B" &amp; (T$2 + 1+(13*24))))</f>
        <v/>
      </c>
      <c r="U16" s="20" t="str" cm="1">
        <f t="array" aca="1" ref="U16" ca="1">IF(INDIRECT("SamplePlate1!B" &amp; (U$2 + 1+(13*24)))="","",INDIRECT("SamplePlate1!B" &amp; (U$2 + 1+(13*24))))</f>
        <v/>
      </c>
      <c r="V16" s="20" t="str" cm="1">
        <f t="array" aca="1" ref="V16" ca="1">IF(INDIRECT("SamplePlate1!B" &amp; (V$2 + 1+(13*24)))="","",INDIRECT("SamplePlate1!B" &amp; (V$2 + 1+(13*24))))</f>
        <v/>
      </c>
      <c r="W16" s="20" t="str" cm="1">
        <f t="array" aca="1" ref="W16" ca="1">IF(INDIRECT("SamplePlate1!B" &amp; (W$2 + 1+(13*24)))="","",INDIRECT("SamplePlate1!B" &amp; (W$2 + 1+(13*24))))</f>
        <v/>
      </c>
      <c r="X16" s="20" t="str" cm="1">
        <f t="array" aca="1" ref="X16" ca="1">IF(INDIRECT("SamplePlate1!B" &amp; (X$2 + 1+(13*24)))="","",INDIRECT("SamplePlate1!B" &amp; (X$2 + 1+(13*24))))</f>
        <v/>
      </c>
      <c r="Y16" s="20" t="str" cm="1">
        <f t="array" aca="1" ref="Y16" ca="1">IF(INDIRECT("SamplePlate1!B" &amp; (Y$2 + 1+(13*24)))="","",INDIRECT("SamplePlate1!B" &amp; (Y$2 + 1+(13*24))))</f>
        <v/>
      </c>
    </row>
    <row r="17" spans="1:25" ht="44.25" customHeight="1" x14ac:dyDescent="0.25">
      <c r="A17" s="19" t="s">
        <v>448</v>
      </c>
      <c r="B17" s="20" t="str" cm="1">
        <f t="array" aca="1" ref="B17" ca="1">IF(INDIRECT("SamplePlate1!B" &amp; (B$2 + 1+(14*24)))="","",INDIRECT("SamplePlate1!B" &amp; (B$2 + 1+(14*24))))</f>
        <v>Octet Buffer</v>
      </c>
      <c r="C17" s="20" t="str" cm="1">
        <f t="array" aca="1" ref="C17" ca="1">IF(INDIRECT("SamplePlate1!B" &amp; (C$2 + 1+(14*24)))="","",INDIRECT("SamplePlate1!B" &amp; (C$2 + 1+(14*24))))</f>
        <v>hsCD3d/e_Acro_CDD-H52W1</v>
      </c>
      <c r="D17" s="20" t="str" cm="1">
        <f t="array" aca="1" ref="D17" ca="1">IF(INDIRECT("SamplePlate1!B" &amp; (D$2 + 1+(14*24)))="","",INDIRECT("SamplePlate1!B" &amp; (D$2 + 1+(14*24))))</f>
        <v>Octet Buffer</v>
      </c>
      <c r="E17" s="20" t="str" cm="1">
        <f t="array" aca="1" ref="E17" ca="1">IF(INDIRECT("SamplePlate1!B" &amp; (E$2 + 1+(14*24)))="","",INDIRECT("SamplePlate1!B" &amp; (E$2 + 1+(14*24))))</f>
        <v>hsCD3d/e_Acro_CDD-H52W1</v>
      </c>
      <c r="F17" s="20" t="str" cm="1">
        <f t="array" aca="1" ref="F17" ca="1">IF(INDIRECT("SamplePlate1!B" &amp; (F$2 + 1+(14*24)))="","",INDIRECT("SamplePlate1!B" &amp; (F$2 + 1+(14*24))))</f>
        <v>SI-157C11_P5158</v>
      </c>
      <c r="G17" s="20" t="str" cm="1">
        <f t="array" aca="1" ref="G17" ca="1">IF(INDIRECT("SamplePlate1!B" &amp; (G$2 + 1+(14*24)))="","",INDIRECT("SamplePlate1!B" &amp; (G$2 + 1+(14*24))))</f>
        <v>SI-157C12_P5159</v>
      </c>
      <c r="H17" s="20" t="str" cm="1">
        <f t="array" aca="1" ref="H17" ca="1">IF(INDIRECT("SamplePlate1!B" &amp; (H$2 + 1+(14*24)))="","",INDIRECT("SamplePlate1!B" &amp; (H$2 + 1+(14*24))))</f>
        <v>SI-157C13_P5198</v>
      </c>
      <c r="I17" s="20" t="str" cm="1">
        <f t="array" aca="1" ref="I17" ca="1">IF(INDIRECT("SamplePlate1!B" &amp; (I$2 + 1+(14*24)))="","",INDIRECT("SamplePlate1!B" &amp; (I$2 + 1+(14*24))))</f>
        <v>SI-157C14_P5199</v>
      </c>
      <c r="J17" s="20" t="str" cm="1">
        <f t="array" aca="1" ref="J17" ca="1">IF(INDIRECT("SamplePlate1!B" &amp; (J$2 + 1+(14*24)))="","",INDIRECT("SamplePlate1!B" &amp; (J$2 + 1+(14*24))))</f>
        <v>SI-157C15_P5235</v>
      </c>
      <c r="K17" s="20" t="str" cm="1">
        <f t="array" aca="1" ref="K17" ca="1">IF(INDIRECT("SamplePlate1!B" &amp; (K$2 + 1+(14*24)))="","",INDIRECT("SamplePlate1!B" &amp; (K$2 + 1+(14*24))))</f>
        <v>SI-157C16_P5236</v>
      </c>
      <c r="L17" s="20" t="str" cm="1">
        <f t="array" aca="1" ref="L17" ca="1">IF(INDIRECT("SamplePlate1!B" &amp; (L$2 + 1+(14*24)))="","",INDIRECT("SamplePlate1!B" &amp; (L$2 + 1+(14*24))))</f>
        <v>SI-157C17_P5237</v>
      </c>
      <c r="M17" s="20" t="str" cm="1">
        <f t="array" aca="1" ref="M17" ca="1">IF(INDIRECT("SamplePlate1!B" &amp; (M$2 + 1+(14*24)))="","",INDIRECT("SamplePlate1!B" &amp; (M$2 + 1+(14*24))))</f>
        <v>SI-157C18_P5317</v>
      </c>
      <c r="N17" s="20" t="str" cm="1">
        <f t="array" aca="1" ref="N17" ca="1">IF(INDIRECT("SamplePlate1!B" &amp; (N$2 + 1+(14*24)))="","",INDIRECT("SamplePlate1!B" &amp; (N$2 + 1+(14*24))))</f>
        <v>SI-83X1_P5364</v>
      </c>
      <c r="O17" s="20" t="str" cm="1">
        <f t="array" aca="1" ref="O17" ca="1">IF(INDIRECT("SamplePlate1!B" &amp; (O$2 + 1+(14*24)))="","",INDIRECT("SamplePlate1!B" &amp; (O$2 + 1+(14*24))))</f>
        <v>SI-157C19_P5365</v>
      </c>
      <c r="P17" s="20" t="str" cm="1">
        <f t="array" aca="1" ref="P17" ca="1">IF(INDIRECT("SamplePlate1!B" &amp; (P$2 + 1+(14*24)))="","",INDIRECT("SamplePlate1!B" &amp; (P$2 + 1+(14*24))))</f>
        <v>SI-157X47_P5533</v>
      </c>
      <c r="Q17" s="20" t="str" cm="1">
        <f t="array" aca="1" ref="Q17" ca="1">IF(INDIRECT("SamplePlate1!B" &amp; (Q$2 + 1+(14*24)))="","",INDIRECT("SamplePlate1!B" &amp; (Q$2 + 1+(14*24))))</f>
        <v>SI-157X56_P5534</v>
      </c>
      <c r="R17" s="20" t="str" cm="1">
        <f t="array" aca="1" ref="R17" ca="1">IF(INDIRECT("SamplePlate1!B" &amp; (R$2 + 1+(14*24)))="","",INDIRECT("SamplePlate1!B" &amp; (R$2 + 1+(14*24))))</f>
        <v>SI-157X61_P5535</v>
      </c>
      <c r="S17" s="20" t="str" cm="1">
        <f t="array" aca="1" ref="S17" ca="1">IF(INDIRECT("SamplePlate1!B" &amp; (S$2 + 1+(14*24)))="","",INDIRECT("SamplePlate1!B" &amp; (S$2 + 1+(14*24))))</f>
        <v>SI-157X62_P5536</v>
      </c>
      <c r="T17" s="20" t="str" cm="1">
        <f t="array" aca="1" ref="T17" ca="1">IF(INDIRECT("SamplePlate1!B" &amp; (T$2 + 1+(14*24)))="","",INDIRECT("SamplePlate1!B" &amp; (T$2 + 1+(14*24))))</f>
        <v>SI-157X63_P5537</v>
      </c>
      <c r="U17" s="20" t="str" cm="1">
        <f t="array" aca="1" ref="U17" ca="1">IF(INDIRECT("SamplePlate1!B" &amp; (U$2 + 1+(14*24)))="","",INDIRECT("SamplePlate1!B" &amp; (U$2 + 1+(14*24))))</f>
        <v>SI-157X64_P5538</v>
      </c>
      <c r="V17" s="20" t="str" cm="1">
        <f t="array" aca="1" ref="V17" ca="1">IF(INDIRECT("SamplePlate1!B" &amp; (V$2 + 1+(14*24)))="","",INDIRECT("SamplePlate1!B" &amp; (V$2 + 1+(14*24))))</f>
        <v>SI-157X49_P5563</v>
      </c>
      <c r="W17" s="20" t="str" cm="1">
        <f t="array" aca="1" ref="W17" ca="1">IF(INDIRECT("SamplePlate1!B" &amp; (W$2 + 1+(14*24)))="","",INDIRECT("SamplePlate1!B" &amp; (W$2 + 1+(14*24))))</f>
        <v>SI-157X50_P5564</v>
      </c>
      <c r="X17" s="20" t="str" cm="1">
        <f t="array" aca="1" ref="X17" ca="1">IF(INDIRECT("SamplePlate1!B" &amp; (X$2 + 1+(14*24)))="","",INDIRECT("SamplePlate1!B" &amp; (X$2 + 1+(14*24))))</f>
        <v>SI-157X53_P5565</v>
      </c>
      <c r="Y17" s="20" t="str" cm="1">
        <f t="array" aca="1" ref="Y17" ca="1">IF(INDIRECT("SamplePlate1!B" &amp; (Y$2 + 1+(14*24)))="","",INDIRECT("SamplePlate1!B" &amp; (Y$2 + 1+(14*24))))</f>
        <v>SI-157X57_P5566</v>
      </c>
    </row>
    <row r="18" spans="1:25" ht="44.25" customHeight="1" x14ac:dyDescent="0.25">
      <c r="A18" s="19" t="s">
        <v>449</v>
      </c>
      <c r="B18" s="20" t="str" cm="1">
        <f t="array" aca="1" ref="B18" ca="1">IF(INDIRECT("SamplePlate1!B" &amp; (B$2 + 1+(15*24)))="","",INDIRECT("SamplePlate1!B" &amp; (B$2 + 1+(15*24))))</f>
        <v>SI-157X65_P5567</v>
      </c>
      <c r="C18" s="20" t="str" cm="1">
        <f t="array" aca="1" ref="C18" ca="1">IF(INDIRECT("SamplePlate1!B" &amp; (C$2 + 1+(15*24)))="","",INDIRECT("SamplePlate1!B" &amp; (C$2 + 1+(15*24))))</f>
        <v>SI-157X66_P5568</v>
      </c>
      <c r="D18" s="20" t="str" cm="1">
        <f t="array" aca="1" ref="D18" ca="1">IF(INDIRECT("SamplePlate1!B" &amp; (D$2 + 1+(15*24)))="","",INDIRECT("SamplePlate1!B" &amp; (D$2 + 1+(15*24))))</f>
        <v>SI-157X67_P5569</v>
      </c>
      <c r="E18" s="20" t="str" cm="1">
        <f t="array" aca="1" ref="E18" ca="1">IF(INDIRECT("SamplePlate1!B" &amp; (E$2 + 1+(15*24)))="","",INDIRECT("SamplePlate1!B" &amp; (E$2 + 1+(15*24))))</f>
        <v>SI-157X68_P5570</v>
      </c>
      <c r="F18" s="20" t="str" cm="1">
        <f t="array" aca="1" ref="F18" ca="1">IF(INDIRECT("SamplePlate1!B" &amp; (F$2 + 1+(15*24)))="","",INDIRECT("SamplePlate1!B" &amp; (F$2 + 1+(15*24))))</f>
        <v>Glycine</v>
      </c>
      <c r="G18" s="20" t="str" cm="1">
        <f t="array" aca="1" ref="G18" ca="1">IF(INDIRECT("SamplePlate1!B" &amp; (G$2 + 1+(15*24)))="","",INDIRECT("SamplePlate1!B" &amp; (G$2 + 1+(15*24))))</f>
        <v>PBS</v>
      </c>
      <c r="H18" s="20" t="str" cm="1">
        <f t="array" aca="1" ref="H18" ca="1">IF(INDIRECT("SamplePlate1!B" &amp; (H$2 + 1+(15*24)))="","",INDIRECT("SamplePlate1!B" &amp; (H$2 + 1+(15*24))))</f>
        <v>Glycine</v>
      </c>
      <c r="I18" s="20" t="str" cm="1">
        <f t="array" aca="1" ref="I18" ca="1">IF(INDIRECT("SamplePlate1!B" &amp; (I$2 + 1+(15*24)))="","",INDIRECT("SamplePlate1!B" &amp; (I$2 + 1+(15*24))))</f>
        <v>PBS</v>
      </c>
      <c r="J18" s="20" t="str" cm="1">
        <f t="array" aca="1" ref="J18" ca="1">IF(INDIRECT("SamplePlate1!B" &amp; (J$2 + 1+(15*24)))="","",INDIRECT("SamplePlate1!B" &amp; (J$2 + 1+(15*24))))</f>
        <v/>
      </c>
      <c r="K18" s="20" t="str" cm="1">
        <f t="array" aca="1" ref="K18" ca="1">IF(INDIRECT("SamplePlate1!B" &amp; (K$2 + 1+(15*24)))="","",INDIRECT("SamplePlate1!B" &amp; (K$2 + 1+(15*24))))</f>
        <v/>
      </c>
      <c r="L18" s="20" t="str" cm="1">
        <f t="array" aca="1" ref="L18" ca="1">IF(INDIRECT("SamplePlate1!B" &amp; (L$2 + 1+(15*24)))="","",INDIRECT("SamplePlate1!B" &amp; (L$2 + 1+(15*24))))</f>
        <v/>
      </c>
      <c r="M18" s="20" t="str" cm="1">
        <f t="array" aca="1" ref="M18" ca="1">IF(INDIRECT("SamplePlate1!B" &amp; (M$2 + 1+(15*24)))="","",INDIRECT("SamplePlate1!B" &amp; (M$2 + 1+(15*24))))</f>
        <v/>
      </c>
      <c r="N18" s="20" t="str" cm="1">
        <f t="array" aca="1" ref="N18" ca="1">IF(INDIRECT("SamplePlate1!B" &amp; (N$2 + 1+(15*24)))="","",INDIRECT("SamplePlate1!B" &amp; (N$2 + 1+(15*24))))</f>
        <v/>
      </c>
      <c r="O18" s="20" t="str" cm="1">
        <f t="array" aca="1" ref="O18" ca="1">IF(INDIRECT("SamplePlate1!B" &amp; (O$2 + 1+(15*24)))="","",INDIRECT("SamplePlate1!B" &amp; (O$2 + 1+(15*24))))</f>
        <v/>
      </c>
      <c r="P18" s="20" t="str" cm="1">
        <f t="array" aca="1" ref="P18" ca="1">IF(INDIRECT("SamplePlate1!B" &amp; (P$2 + 1+(15*24)))="","",INDIRECT("SamplePlate1!B" &amp; (P$2 + 1+(15*24))))</f>
        <v/>
      </c>
      <c r="Q18" s="20" t="str" cm="1">
        <f t="array" aca="1" ref="Q18" ca="1">IF(INDIRECT("SamplePlate1!B" &amp; (Q$2 + 1+(15*24)))="","",INDIRECT("SamplePlate1!B" &amp; (Q$2 + 1+(15*24))))</f>
        <v/>
      </c>
      <c r="R18" s="20" t="str" cm="1">
        <f t="array" aca="1" ref="R18" ca="1">IF(INDIRECT("SamplePlate1!B" &amp; (R$2 + 1+(15*24)))="","",INDIRECT("SamplePlate1!B" &amp; (R$2 + 1+(15*24))))</f>
        <v/>
      </c>
      <c r="S18" s="20" t="str" cm="1">
        <f t="array" aca="1" ref="S18" ca="1">IF(INDIRECT("SamplePlate1!B" &amp; (S$2 + 1+(15*24)))="","",INDIRECT("SamplePlate1!B" &amp; (S$2 + 1+(15*24))))</f>
        <v/>
      </c>
      <c r="T18" s="20" t="str" cm="1">
        <f t="array" aca="1" ref="T18" ca="1">IF(INDIRECT("SamplePlate1!B" &amp; (T$2 + 1+(15*24)))="","",INDIRECT("SamplePlate1!B" &amp; (T$2 + 1+(15*24))))</f>
        <v/>
      </c>
      <c r="U18" s="20" t="str" cm="1">
        <f t="array" aca="1" ref="U18" ca="1">IF(INDIRECT("SamplePlate1!B" &amp; (U$2 + 1+(15*24)))="","",INDIRECT("SamplePlate1!B" &amp; (U$2 + 1+(15*24))))</f>
        <v/>
      </c>
      <c r="V18" s="20" t="str" cm="1">
        <f t="array" aca="1" ref="V18" ca="1">IF(INDIRECT("SamplePlate1!B" &amp; (V$2 + 1+(15*24)))="","",INDIRECT("SamplePlate1!B" &amp; (V$2 + 1+(15*24))))</f>
        <v/>
      </c>
      <c r="W18" s="20" t="str" cm="1">
        <f t="array" aca="1" ref="W18" ca="1">IF(INDIRECT("SamplePlate1!B" &amp; (W$2 + 1+(15*24)))="","",INDIRECT("SamplePlate1!B" &amp; (W$2 + 1+(15*24))))</f>
        <v/>
      </c>
      <c r="X18" s="20" t="str" cm="1">
        <f t="array" aca="1" ref="X18" ca="1">IF(INDIRECT("SamplePlate1!B" &amp; (X$2 + 1+(15*24)))="","",INDIRECT("SamplePlate1!B" &amp; (X$2 + 1+(15*24))))</f>
        <v/>
      </c>
      <c r="Y18" s="20" t="str" cm="1">
        <f t="array" aca="1" ref="Y18" ca="1">IF(INDIRECT("SamplePlate1!B" &amp; (Y$2 + 1+(15*24)))="","",INDIRECT("SamplePlate1!B" &amp; (Y$2 + 1+(15*24))))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4269-6170-4356-AE76-112DCFF801E6}">
  <dimension ref="A1:H385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2" max="2" width="28.28515625" bestFit="1" customWidth="1"/>
    <col min="3" max="3" width="14.28515625" bestFit="1" customWidth="1"/>
    <col min="5" max="5" width="21" bestFit="1" customWidth="1"/>
    <col min="6" max="6" width="19.7109375" bestFit="1" customWidth="1"/>
    <col min="7" max="7" width="21.85546875" bestFit="1" customWidth="1"/>
    <col min="8" max="8" width="10.7109375" bestFit="1" customWidth="1"/>
  </cols>
  <sheetData>
    <row r="1" spans="1:8" x14ac:dyDescent="0.2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</row>
    <row r="2" spans="1:8" x14ac:dyDescent="0.25">
      <c r="A2" t="s">
        <v>16</v>
      </c>
    </row>
    <row r="3" spans="1:8" x14ac:dyDescent="0.25">
      <c r="A3" t="s">
        <v>17</v>
      </c>
    </row>
    <row r="4" spans="1:8" x14ac:dyDescent="0.25">
      <c r="A4" t="s">
        <v>6</v>
      </c>
    </row>
    <row r="5" spans="1:8" x14ac:dyDescent="0.25">
      <c r="A5" t="s">
        <v>7</v>
      </c>
    </row>
    <row r="6" spans="1:8" x14ac:dyDescent="0.25">
      <c r="A6" t="s">
        <v>8</v>
      </c>
    </row>
    <row r="7" spans="1:8" x14ac:dyDescent="0.25">
      <c r="A7" t="s">
        <v>9</v>
      </c>
    </row>
    <row r="8" spans="1:8" x14ac:dyDescent="0.25">
      <c r="A8" t="s">
        <v>10</v>
      </c>
    </row>
    <row r="9" spans="1:8" x14ac:dyDescent="0.25">
      <c r="A9" t="s">
        <v>11</v>
      </c>
    </row>
    <row r="10" spans="1:8" x14ac:dyDescent="0.25">
      <c r="A10" t="s">
        <v>12</v>
      </c>
    </row>
    <row r="11" spans="1:8" x14ac:dyDescent="0.25">
      <c r="A11" t="s">
        <v>13</v>
      </c>
    </row>
    <row r="12" spans="1:8" x14ac:dyDescent="0.25">
      <c r="A12" t="s">
        <v>14</v>
      </c>
    </row>
    <row r="13" spans="1:8" x14ac:dyDescent="0.25">
      <c r="A13" t="s">
        <v>15</v>
      </c>
    </row>
    <row r="14" spans="1:8" x14ac:dyDescent="0.25">
      <c r="A14" t="s">
        <v>21</v>
      </c>
    </row>
    <row r="15" spans="1:8" x14ac:dyDescent="0.25">
      <c r="A15" t="s">
        <v>22</v>
      </c>
    </row>
    <row r="16" spans="1:8" x14ac:dyDescent="0.25">
      <c r="A16" t="s">
        <v>23</v>
      </c>
    </row>
    <row r="17" spans="1:7" x14ac:dyDescent="0.25">
      <c r="A17" t="s">
        <v>24</v>
      </c>
    </row>
    <row r="18" spans="1:7" x14ac:dyDescent="0.25">
      <c r="A18" t="s">
        <v>55</v>
      </c>
    </row>
    <row r="19" spans="1:7" x14ac:dyDescent="0.25">
      <c r="A19" t="s">
        <v>56</v>
      </c>
    </row>
    <row r="20" spans="1:7" x14ac:dyDescent="0.25">
      <c r="A20" t="s">
        <v>57</v>
      </c>
    </row>
    <row r="21" spans="1:7" x14ac:dyDescent="0.25">
      <c r="A21" t="s">
        <v>58</v>
      </c>
    </row>
    <row r="22" spans="1:7" x14ac:dyDescent="0.25">
      <c r="A22" t="s">
        <v>59</v>
      </c>
    </row>
    <row r="23" spans="1:7" x14ac:dyDescent="0.25">
      <c r="A23" t="s">
        <v>60</v>
      </c>
    </row>
    <row r="24" spans="1:7" x14ac:dyDescent="0.25">
      <c r="A24" t="s">
        <v>61</v>
      </c>
    </row>
    <row r="25" spans="1:7" x14ac:dyDescent="0.25">
      <c r="A25" t="s">
        <v>62</v>
      </c>
    </row>
    <row r="26" spans="1:7" x14ac:dyDescent="0.25">
      <c r="A26" t="s">
        <v>19</v>
      </c>
    </row>
    <row r="27" spans="1:7" x14ac:dyDescent="0.25">
      <c r="A27" t="s">
        <v>25</v>
      </c>
      <c r="B27" s="7"/>
      <c r="G27" s="2"/>
    </row>
    <row r="28" spans="1:7" x14ac:dyDescent="0.25">
      <c r="A28" t="s">
        <v>20</v>
      </c>
      <c r="G28" s="2"/>
    </row>
    <row r="29" spans="1:7" x14ac:dyDescent="0.25">
      <c r="A29" t="s">
        <v>26</v>
      </c>
    </row>
    <row r="30" spans="1:7" x14ac:dyDescent="0.25">
      <c r="A30" t="s">
        <v>27</v>
      </c>
    </row>
    <row r="31" spans="1:7" x14ac:dyDescent="0.25">
      <c r="A31" t="s">
        <v>28</v>
      </c>
      <c r="G31" s="2"/>
    </row>
    <row r="32" spans="1:7" x14ac:dyDescent="0.25">
      <c r="A32" t="s">
        <v>29</v>
      </c>
      <c r="G32" s="2"/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63</v>
      </c>
    </row>
    <row r="44" spans="1:1" x14ac:dyDescent="0.25">
      <c r="A44" t="s">
        <v>64</v>
      </c>
    </row>
    <row r="45" spans="1:1" x14ac:dyDescent="0.25">
      <c r="A45" t="s">
        <v>65</v>
      </c>
    </row>
    <row r="46" spans="1:1" x14ac:dyDescent="0.25">
      <c r="A46" t="s">
        <v>66</v>
      </c>
    </row>
    <row r="47" spans="1:1" x14ac:dyDescent="0.25">
      <c r="A47" t="s">
        <v>67</v>
      </c>
    </row>
    <row r="48" spans="1:1" x14ac:dyDescent="0.25">
      <c r="A48" t="s">
        <v>68</v>
      </c>
    </row>
    <row r="49" spans="1:1" x14ac:dyDescent="0.25">
      <c r="A49" t="s">
        <v>69</v>
      </c>
    </row>
    <row r="50" spans="1:1" x14ac:dyDescent="0.25">
      <c r="A50" t="s">
        <v>70</v>
      </c>
    </row>
    <row r="51" spans="1:1" x14ac:dyDescent="0.25">
      <c r="A51" t="s">
        <v>71</v>
      </c>
    </row>
    <row r="52" spans="1:1" x14ac:dyDescent="0.25">
      <c r="A52" t="s">
        <v>72</v>
      </c>
    </row>
    <row r="53" spans="1:1" x14ac:dyDescent="0.25">
      <c r="A53" t="s">
        <v>73</v>
      </c>
    </row>
    <row r="54" spans="1:1" x14ac:dyDescent="0.25">
      <c r="A54" t="s">
        <v>74</v>
      </c>
    </row>
    <row r="55" spans="1:1" x14ac:dyDescent="0.25">
      <c r="A55" t="s">
        <v>75</v>
      </c>
    </row>
    <row r="56" spans="1:1" x14ac:dyDescent="0.25">
      <c r="A56" t="s">
        <v>76</v>
      </c>
    </row>
    <row r="57" spans="1:1" x14ac:dyDescent="0.25">
      <c r="A57" t="s">
        <v>77</v>
      </c>
    </row>
    <row r="58" spans="1:1" x14ac:dyDescent="0.25">
      <c r="A58" t="s">
        <v>78</v>
      </c>
    </row>
    <row r="59" spans="1:1" x14ac:dyDescent="0.25">
      <c r="A59" t="s">
        <v>79</v>
      </c>
    </row>
    <row r="60" spans="1:1" x14ac:dyDescent="0.25">
      <c r="A60" t="s">
        <v>80</v>
      </c>
    </row>
    <row r="61" spans="1:1" x14ac:dyDescent="0.25">
      <c r="A61" t="s">
        <v>81</v>
      </c>
    </row>
    <row r="62" spans="1:1" x14ac:dyDescent="0.25">
      <c r="A62" t="s">
        <v>82</v>
      </c>
    </row>
    <row r="63" spans="1:1" x14ac:dyDescent="0.25">
      <c r="A63" t="s">
        <v>83</v>
      </c>
    </row>
    <row r="64" spans="1:1" x14ac:dyDescent="0.25">
      <c r="A64" t="s">
        <v>84</v>
      </c>
    </row>
    <row r="65" spans="1:7" x14ac:dyDescent="0.25">
      <c r="A65" t="s">
        <v>85</v>
      </c>
    </row>
    <row r="66" spans="1:7" x14ac:dyDescent="0.25">
      <c r="A66" t="s">
        <v>86</v>
      </c>
    </row>
    <row r="67" spans="1:7" x14ac:dyDescent="0.25">
      <c r="A67" t="s">
        <v>87</v>
      </c>
    </row>
    <row r="68" spans="1:7" x14ac:dyDescent="0.25">
      <c r="A68" t="s">
        <v>88</v>
      </c>
    </row>
    <row r="69" spans="1:7" x14ac:dyDescent="0.25">
      <c r="A69" t="s">
        <v>89</v>
      </c>
    </row>
    <row r="70" spans="1:7" x14ac:dyDescent="0.25">
      <c r="A70" t="s">
        <v>90</v>
      </c>
    </row>
    <row r="71" spans="1:7" x14ac:dyDescent="0.25">
      <c r="A71" t="s">
        <v>91</v>
      </c>
    </row>
    <row r="72" spans="1:7" x14ac:dyDescent="0.25">
      <c r="A72" t="s">
        <v>92</v>
      </c>
    </row>
    <row r="73" spans="1:7" x14ac:dyDescent="0.25">
      <c r="A73" t="s">
        <v>93</v>
      </c>
    </row>
    <row r="74" spans="1:7" x14ac:dyDescent="0.25">
      <c r="A74" t="s">
        <v>94</v>
      </c>
    </row>
    <row r="75" spans="1:7" x14ac:dyDescent="0.25">
      <c r="A75" t="s">
        <v>95</v>
      </c>
      <c r="B75" s="7"/>
      <c r="G75" s="2"/>
    </row>
    <row r="76" spans="1:7" x14ac:dyDescent="0.25">
      <c r="A76" t="s">
        <v>96</v>
      </c>
      <c r="G76" s="2"/>
    </row>
    <row r="77" spans="1:7" x14ac:dyDescent="0.25">
      <c r="A77" t="s">
        <v>97</v>
      </c>
    </row>
    <row r="78" spans="1:7" x14ac:dyDescent="0.25">
      <c r="A78" t="s">
        <v>98</v>
      </c>
    </row>
    <row r="79" spans="1:7" x14ac:dyDescent="0.25">
      <c r="A79" t="s">
        <v>99</v>
      </c>
      <c r="G79" s="2"/>
    </row>
    <row r="80" spans="1:7" x14ac:dyDescent="0.25">
      <c r="A80" t="s">
        <v>100</v>
      </c>
      <c r="G80" s="2"/>
    </row>
    <row r="81" spans="1:1" x14ac:dyDescent="0.25">
      <c r="A81" t="s">
        <v>101</v>
      </c>
    </row>
    <row r="82" spans="1:1" x14ac:dyDescent="0.25">
      <c r="A82" t="s">
        <v>102</v>
      </c>
    </row>
    <row r="83" spans="1:1" x14ac:dyDescent="0.25">
      <c r="A83" t="s">
        <v>103</v>
      </c>
    </row>
    <row r="84" spans="1:1" x14ac:dyDescent="0.25">
      <c r="A84" t="s">
        <v>104</v>
      </c>
    </row>
    <row r="85" spans="1:1" x14ac:dyDescent="0.25">
      <c r="A85" t="s">
        <v>105</v>
      </c>
    </row>
    <row r="86" spans="1:1" x14ac:dyDescent="0.25">
      <c r="A86" t="s">
        <v>106</v>
      </c>
    </row>
    <row r="87" spans="1:1" x14ac:dyDescent="0.25">
      <c r="A87" t="s">
        <v>107</v>
      </c>
    </row>
    <row r="88" spans="1:1" x14ac:dyDescent="0.25">
      <c r="A88" t="s">
        <v>108</v>
      </c>
    </row>
    <row r="89" spans="1:1" x14ac:dyDescent="0.25">
      <c r="A89" t="s">
        <v>109</v>
      </c>
    </row>
    <row r="90" spans="1:1" x14ac:dyDescent="0.25">
      <c r="A90" t="s">
        <v>110</v>
      </c>
    </row>
    <row r="91" spans="1:1" x14ac:dyDescent="0.25">
      <c r="A91" t="s">
        <v>111</v>
      </c>
    </row>
    <row r="92" spans="1:1" x14ac:dyDescent="0.25">
      <c r="A92" t="s">
        <v>112</v>
      </c>
    </row>
    <row r="93" spans="1:1" x14ac:dyDescent="0.25">
      <c r="A93" t="s">
        <v>113</v>
      </c>
    </row>
    <row r="94" spans="1:1" x14ac:dyDescent="0.25">
      <c r="A94" t="s">
        <v>114</v>
      </c>
    </row>
    <row r="95" spans="1:1" x14ac:dyDescent="0.25">
      <c r="A95" t="s">
        <v>115</v>
      </c>
    </row>
    <row r="96" spans="1:1" x14ac:dyDescent="0.25">
      <c r="A96" t="s">
        <v>116</v>
      </c>
    </row>
    <row r="97" spans="1:1" x14ac:dyDescent="0.25">
      <c r="A97" t="s">
        <v>117</v>
      </c>
    </row>
    <row r="98" spans="1:1" x14ac:dyDescent="0.25">
      <c r="A98" t="s">
        <v>118</v>
      </c>
    </row>
    <row r="99" spans="1:1" x14ac:dyDescent="0.25">
      <c r="A99" t="s">
        <v>119</v>
      </c>
    </row>
    <row r="100" spans="1:1" x14ac:dyDescent="0.25">
      <c r="A100" t="s">
        <v>120</v>
      </c>
    </row>
    <row r="101" spans="1:1" x14ac:dyDescent="0.25">
      <c r="A101" t="s">
        <v>121</v>
      </c>
    </row>
    <row r="102" spans="1:1" x14ac:dyDescent="0.25">
      <c r="A102" t="s">
        <v>122</v>
      </c>
    </row>
    <row r="103" spans="1:1" x14ac:dyDescent="0.25">
      <c r="A103" t="s">
        <v>123</v>
      </c>
    </row>
    <row r="104" spans="1:1" x14ac:dyDescent="0.25">
      <c r="A104" t="s">
        <v>124</v>
      </c>
    </row>
    <row r="105" spans="1:1" x14ac:dyDescent="0.25">
      <c r="A105" t="s">
        <v>125</v>
      </c>
    </row>
    <row r="106" spans="1:1" x14ac:dyDescent="0.25">
      <c r="A106" t="s">
        <v>126</v>
      </c>
    </row>
    <row r="107" spans="1:1" x14ac:dyDescent="0.25">
      <c r="A107" t="s">
        <v>127</v>
      </c>
    </row>
    <row r="108" spans="1:1" x14ac:dyDescent="0.25">
      <c r="A108" t="s">
        <v>128</v>
      </c>
    </row>
    <row r="109" spans="1:1" x14ac:dyDescent="0.25">
      <c r="A109" t="s">
        <v>129</v>
      </c>
    </row>
    <row r="110" spans="1:1" x14ac:dyDescent="0.25">
      <c r="A110" t="s">
        <v>130</v>
      </c>
    </row>
    <row r="111" spans="1:1" x14ac:dyDescent="0.25">
      <c r="A111" t="s">
        <v>131</v>
      </c>
    </row>
    <row r="112" spans="1:1" x14ac:dyDescent="0.25">
      <c r="A112" t="s">
        <v>132</v>
      </c>
    </row>
    <row r="113" spans="1:7" x14ac:dyDescent="0.25">
      <c r="A113" t="s">
        <v>133</v>
      </c>
    </row>
    <row r="114" spans="1:7" x14ac:dyDescent="0.25">
      <c r="A114" t="s">
        <v>134</v>
      </c>
    </row>
    <row r="115" spans="1:7" x14ac:dyDescent="0.25">
      <c r="A115" t="s">
        <v>135</v>
      </c>
    </row>
    <row r="116" spans="1:7" x14ac:dyDescent="0.25">
      <c r="A116" t="s">
        <v>136</v>
      </c>
    </row>
    <row r="117" spans="1:7" x14ac:dyDescent="0.25">
      <c r="A117" t="s">
        <v>137</v>
      </c>
    </row>
    <row r="118" spans="1:7" x14ac:dyDescent="0.25">
      <c r="A118" t="s">
        <v>138</v>
      </c>
    </row>
    <row r="119" spans="1:7" x14ac:dyDescent="0.25">
      <c r="A119" t="s">
        <v>139</v>
      </c>
    </row>
    <row r="120" spans="1:7" x14ac:dyDescent="0.25">
      <c r="A120" t="s">
        <v>140</v>
      </c>
    </row>
    <row r="121" spans="1:7" x14ac:dyDescent="0.25">
      <c r="A121" t="s">
        <v>141</v>
      </c>
    </row>
    <row r="122" spans="1:7" x14ac:dyDescent="0.25">
      <c r="A122" t="s">
        <v>142</v>
      </c>
    </row>
    <row r="123" spans="1:7" x14ac:dyDescent="0.25">
      <c r="A123" t="s">
        <v>143</v>
      </c>
      <c r="B123" s="7"/>
      <c r="G123" s="2"/>
    </row>
    <row r="124" spans="1:7" x14ac:dyDescent="0.25">
      <c r="A124" t="s">
        <v>144</v>
      </c>
      <c r="G124" s="2"/>
    </row>
    <row r="125" spans="1:7" x14ac:dyDescent="0.25">
      <c r="A125" t="s">
        <v>145</v>
      </c>
    </row>
    <row r="126" spans="1:7" x14ac:dyDescent="0.25">
      <c r="A126" t="s">
        <v>146</v>
      </c>
    </row>
    <row r="127" spans="1:7" x14ac:dyDescent="0.25">
      <c r="A127" t="s">
        <v>147</v>
      </c>
      <c r="G127" s="2"/>
    </row>
    <row r="128" spans="1:7" x14ac:dyDescent="0.25">
      <c r="A128" t="s">
        <v>148</v>
      </c>
      <c r="G128" s="2"/>
    </row>
    <row r="129" spans="1:1" x14ac:dyDescent="0.25">
      <c r="A129" t="s">
        <v>149</v>
      </c>
    </row>
    <row r="130" spans="1:1" x14ac:dyDescent="0.25">
      <c r="A130" t="s">
        <v>150</v>
      </c>
    </row>
    <row r="131" spans="1:1" x14ac:dyDescent="0.25">
      <c r="A131" t="s">
        <v>151</v>
      </c>
    </row>
    <row r="132" spans="1:1" x14ac:dyDescent="0.25">
      <c r="A132" t="s">
        <v>152</v>
      </c>
    </row>
    <row r="133" spans="1:1" x14ac:dyDescent="0.25">
      <c r="A133" t="s">
        <v>153</v>
      </c>
    </row>
    <row r="134" spans="1:1" x14ac:dyDescent="0.25">
      <c r="A134" t="s">
        <v>154</v>
      </c>
    </row>
    <row r="135" spans="1:1" x14ac:dyDescent="0.25">
      <c r="A135" t="s">
        <v>155</v>
      </c>
    </row>
    <row r="136" spans="1:1" x14ac:dyDescent="0.25">
      <c r="A136" t="s">
        <v>156</v>
      </c>
    </row>
    <row r="137" spans="1:1" x14ac:dyDescent="0.25">
      <c r="A137" t="s">
        <v>157</v>
      </c>
    </row>
    <row r="138" spans="1:1" x14ac:dyDescent="0.25">
      <c r="A138" t="s">
        <v>158</v>
      </c>
    </row>
    <row r="139" spans="1:1" x14ac:dyDescent="0.25">
      <c r="A139" t="s">
        <v>159</v>
      </c>
    </row>
    <row r="140" spans="1:1" x14ac:dyDescent="0.25">
      <c r="A140" t="s">
        <v>160</v>
      </c>
    </row>
    <row r="141" spans="1:1" x14ac:dyDescent="0.25">
      <c r="A141" t="s">
        <v>161</v>
      </c>
    </row>
    <row r="142" spans="1:1" x14ac:dyDescent="0.25">
      <c r="A142" t="s">
        <v>162</v>
      </c>
    </row>
    <row r="143" spans="1:1" x14ac:dyDescent="0.25">
      <c r="A143" t="s">
        <v>163</v>
      </c>
    </row>
    <row r="144" spans="1:1" x14ac:dyDescent="0.25">
      <c r="A144" t="s">
        <v>164</v>
      </c>
    </row>
    <row r="145" spans="1:1" x14ac:dyDescent="0.25">
      <c r="A145" t="s">
        <v>165</v>
      </c>
    </row>
    <row r="146" spans="1:1" x14ac:dyDescent="0.25">
      <c r="A146" t="s">
        <v>166</v>
      </c>
    </row>
    <row r="147" spans="1:1" x14ac:dyDescent="0.25">
      <c r="A147" t="s">
        <v>167</v>
      </c>
    </row>
    <row r="148" spans="1:1" x14ac:dyDescent="0.25">
      <c r="A148" t="s">
        <v>168</v>
      </c>
    </row>
    <row r="149" spans="1:1" x14ac:dyDescent="0.25">
      <c r="A149" t="s">
        <v>169</v>
      </c>
    </row>
    <row r="150" spans="1:1" x14ac:dyDescent="0.25">
      <c r="A150" t="s">
        <v>170</v>
      </c>
    </row>
    <row r="151" spans="1:1" x14ac:dyDescent="0.25">
      <c r="A151" t="s">
        <v>171</v>
      </c>
    </row>
    <row r="152" spans="1:1" x14ac:dyDescent="0.25">
      <c r="A152" t="s">
        <v>172</v>
      </c>
    </row>
    <row r="153" spans="1:1" x14ac:dyDescent="0.25">
      <c r="A153" t="s">
        <v>173</v>
      </c>
    </row>
    <row r="154" spans="1:1" x14ac:dyDescent="0.25">
      <c r="A154" t="s">
        <v>174</v>
      </c>
    </row>
    <row r="155" spans="1:1" x14ac:dyDescent="0.25">
      <c r="A155" t="s">
        <v>175</v>
      </c>
    </row>
    <row r="156" spans="1:1" x14ac:dyDescent="0.25">
      <c r="A156" t="s">
        <v>176</v>
      </c>
    </row>
    <row r="157" spans="1:1" x14ac:dyDescent="0.25">
      <c r="A157" t="s">
        <v>177</v>
      </c>
    </row>
    <row r="158" spans="1:1" x14ac:dyDescent="0.25">
      <c r="A158" t="s">
        <v>178</v>
      </c>
    </row>
    <row r="159" spans="1:1" x14ac:dyDescent="0.25">
      <c r="A159" t="s">
        <v>179</v>
      </c>
    </row>
    <row r="160" spans="1:1" x14ac:dyDescent="0.25">
      <c r="A160" t="s">
        <v>180</v>
      </c>
    </row>
    <row r="161" spans="1:7" x14ac:dyDescent="0.25">
      <c r="A161" t="s">
        <v>181</v>
      </c>
    </row>
    <row r="162" spans="1:7" x14ac:dyDescent="0.25">
      <c r="A162" t="s">
        <v>182</v>
      </c>
    </row>
    <row r="163" spans="1:7" x14ac:dyDescent="0.25">
      <c r="A163" t="s">
        <v>183</v>
      </c>
    </row>
    <row r="164" spans="1:7" x14ac:dyDescent="0.25">
      <c r="A164" t="s">
        <v>184</v>
      </c>
    </row>
    <row r="165" spans="1:7" x14ac:dyDescent="0.25">
      <c r="A165" t="s">
        <v>185</v>
      </c>
    </row>
    <row r="166" spans="1:7" x14ac:dyDescent="0.25">
      <c r="A166" t="s">
        <v>186</v>
      </c>
    </row>
    <row r="167" spans="1:7" x14ac:dyDescent="0.25">
      <c r="A167" t="s">
        <v>187</v>
      </c>
    </row>
    <row r="168" spans="1:7" x14ac:dyDescent="0.25">
      <c r="A168" t="s">
        <v>188</v>
      </c>
    </row>
    <row r="169" spans="1:7" x14ac:dyDescent="0.25">
      <c r="A169" t="s">
        <v>189</v>
      </c>
    </row>
    <row r="170" spans="1:7" x14ac:dyDescent="0.25">
      <c r="A170" t="s">
        <v>190</v>
      </c>
    </row>
    <row r="171" spans="1:7" x14ac:dyDescent="0.25">
      <c r="A171" t="s">
        <v>191</v>
      </c>
      <c r="B171" s="7"/>
      <c r="G171" s="2"/>
    </row>
    <row r="172" spans="1:7" x14ac:dyDescent="0.25">
      <c r="A172" t="s">
        <v>192</v>
      </c>
      <c r="G172" s="2"/>
    </row>
    <row r="173" spans="1:7" x14ac:dyDescent="0.25">
      <c r="A173" t="s">
        <v>193</v>
      </c>
    </row>
    <row r="174" spans="1:7" x14ac:dyDescent="0.25">
      <c r="A174" t="s">
        <v>194</v>
      </c>
    </row>
    <row r="175" spans="1:7" x14ac:dyDescent="0.25">
      <c r="A175" t="s">
        <v>195</v>
      </c>
      <c r="G175" s="2"/>
    </row>
    <row r="176" spans="1:7" x14ac:dyDescent="0.25">
      <c r="A176" t="s">
        <v>196</v>
      </c>
      <c r="G176" s="2"/>
    </row>
    <row r="177" spans="1:1" x14ac:dyDescent="0.25">
      <c r="A177" t="s">
        <v>197</v>
      </c>
    </row>
    <row r="178" spans="1:1" x14ac:dyDescent="0.25">
      <c r="A178" t="s">
        <v>198</v>
      </c>
    </row>
    <row r="179" spans="1:1" x14ac:dyDescent="0.25">
      <c r="A179" t="s">
        <v>199</v>
      </c>
    </row>
    <row r="180" spans="1:1" x14ac:dyDescent="0.25">
      <c r="A180" t="s">
        <v>200</v>
      </c>
    </row>
    <row r="181" spans="1:1" x14ac:dyDescent="0.25">
      <c r="A181" t="s">
        <v>201</v>
      </c>
    </row>
    <row r="182" spans="1:1" x14ac:dyDescent="0.25">
      <c r="A182" t="s">
        <v>202</v>
      </c>
    </row>
    <row r="183" spans="1:1" x14ac:dyDescent="0.25">
      <c r="A183" t="s">
        <v>203</v>
      </c>
    </row>
    <row r="184" spans="1:1" x14ac:dyDescent="0.25">
      <c r="A184" t="s">
        <v>204</v>
      </c>
    </row>
    <row r="185" spans="1:1" x14ac:dyDescent="0.25">
      <c r="A185" t="s">
        <v>205</v>
      </c>
    </row>
    <row r="186" spans="1:1" x14ac:dyDescent="0.25">
      <c r="A186" t="s">
        <v>206</v>
      </c>
    </row>
    <row r="187" spans="1:1" x14ac:dyDescent="0.25">
      <c r="A187" t="s">
        <v>207</v>
      </c>
    </row>
    <row r="188" spans="1:1" x14ac:dyDescent="0.25">
      <c r="A188" t="s">
        <v>208</v>
      </c>
    </row>
    <row r="189" spans="1:1" x14ac:dyDescent="0.25">
      <c r="A189" t="s">
        <v>209</v>
      </c>
    </row>
    <row r="190" spans="1:1" x14ac:dyDescent="0.25">
      <c r="A190" t="s">
        <v>210</v>
      </c>
    </row>
    <row r="191" spans="1:1" x14ac:dyDescent="0.25">
      <c r="A191" t="s">
        <v>211</v>
      </c>
    </row>
    <row r="192" spans="1:1" x14ac:dyDescent="0.25">
      <c r="A192" t="s">
        <v>212</v>
      </c>
    </row>
    <row r="193" spans="1:1" x14ac:dyDescent="0.25">
      <c r="A193" t="s">
        <v>213</v>
      </c>
    </row>
    <row r="194" spans="1:1" x14ac:dyDescent="0.25">
      <c r="A194" t="s">
        <v>214</v>
      </c>
    </row>
    <row r="195" spans="1:1" x14ac:dyDescent="0.25">
      <c r="A195" t="s">
        <v>215</v>
      </c>
    </row>
    <row r="196" spans="1:1" x14ac:dyDescent="0.25">
      <c r="A196" t="s">
        <v>216</v>
      </c>
    </row>
    <row r="197" spans="1:1" x14ac:dyDescent="0.25">
      <c r="A197" t="s">
        <v>217</v>
      </c>
    </row>
    <row r="198" spans="1:1" x14ac:dyDescent="0.25">
      <c r="A198" t="s">
        <v>218</v>
      </c>
    </row>
    <row r="199" spans="1:1" x14ac:dyDescent="0.25">
      <c r="A199" t="s">
        <v>219</v>
      </c>
    </row>
    <row r="200" spans="1:1" x14ac:dyDescent="0.25">
      <c r="A200" t="s">
        <v>220</v>
      </c>
    </row>
    <row r="201" spans="1:1" x14ac:dyDescent="0.25">
      <c r="A201" t="s">
        <v>221</v>
      </c>
    </row>
    <row r="202" spans="1:1" x14ac:dyDescent="0.25">
      <c r="A202" t="s">
        <v>222</v>
      </c>
    </row>
    <row r="203" spans="1:1" x14ac:dyDescent="0.25">
      <c r="A203" t="s">
        <v>223</v>
      </c>
    </row>
    <row r="204" spans="1:1" x14ac:dyDescent="0.25">
      <c r="A204" t="s">
        <v>224</v>
      </c>
    </row>
    <row r="205" spans="1:1" x14ac:dyDescent="0.25">
      <c r="A205" t="s">
        <v>225</v>
      </c>
    </row>
    <row r="206" spans="1:1" x14ac:dyDescent="0.25">
      <c r="A206" t="s">
        <v>226</v>
      </c>
    </row>
    <row r="207" spans="1:1" x14ac:dyDescent="0.25">
      <c r="A207" t="s">
        <v>227</v>
      </c>
    </row>
    <row r="208" spans="1:1" x14ac:dyDescent="0.25">
      <c r="A208" t="s">
        <v>228</v>
      </c>
    </row>
    <row r="209" spans="1:7" x14ac:dyDescent="0.25">
      <c r="A209" t="s">
        <v>229</v>
      </c>
    </row>
    <row r="210" spans="1:7" x14ac:dyDescent="0.25">
      <c r="A210" t="s">
        <v>230</v>
      </c>
    </row>
    <row r="211" spans="1:7" x14ac:dyDescent="0.25">
      <c r="A211" t="s">
        <v>231</v>
      </c>
    </row>
    <row r="212" spans="1:7" x14ac:dyDescent="0.25">
      <c r="A212" t="s">
        <v>232</v>
      </c>
    </row>
    <row r="213" spans="1:7" x14ac:dyDescent="0.25">
      <c r="A213" t="s">
        <v>233</v>
      </c>
    </row>
    <row r="214" spans="1:7" x14ac:dyDescent="0.25">
      <c r="A214" t="s">
        <v>234</v>
      </c>
    </row>
    <row r="215" spans="1:7" x14ac:dyDescent="0.25">
      <c r="A215" t="s">
        <v>235</v>
      </c>
    </row>
    <row r="216" spans="1:7" x14ac:dyDescent="0.25">
      <c r="A216" t="s">
        <v>236</v>
      </c>
    </row>
    <row r="217" spans="1:7" x14ac:dyDescent="0.25">
      <c r="A217" t="s">
        <v>237</v>
      </c>
    </row>
    <row r="218" spans="1:7" x14ac:dyDescent="0.25">
      <c r="A218" t="s">
        <v>238</v>
      </c>
    </row>
    <row r="219" spans="1:7" x14ac:dyDescent="0.25">
      <c r="A219" t="s">
        <v>239</v>
      </c>
      <c r="B219" s="7"/>
      <c r="G219" s="2"/>
    </row>
    <row r="220" spans="1:7" x14ac:dyDescent="0.25">
      <c r="A220" t="s">
        <v>240</v>
      </c>
      <c r="G220" s="2"/>
    </row>
    <row r="221" spans="1:7" x14ac:dyDescent="0.25">
      <c r="A221" t="s">
        <v>241</v>
      </c>
    </row>
    <row r="222" spans="1:7" x14ac:dyDescent="0.25">
      <c r="A222" t="s">
        <v>242</v>
      </c>
    </row>
    <row r="223" spans="1:7" x14ac:dyDescent="0.25">
      <c r="A223" t="s">
        <v>243</v>
      </c>
      <c r="G223" s="2"/>
    </row>
    <row r="224" spans="1:7" x14ac:dyDescent="0.25">
      <c r="A224" t="s">
        <v>244</v>
      </c>
      <c r="G224" s="2"/>
    </row>
    <row r="225" spans="1:1" x14ac:dyDescent="0.25">
      <c r="A225" t="s">
        <v>245</v>
      </c>
    </row>
    <row r="226" spans="1:1" x14ac:dyDescent="0.25">
      <c r="A226" t="s">
        <v>246</v>
      </c>
    </row>
    <row r="227" spans="1:1" x14ac:dyDescent="0.25">
      <c r="A227" t="s">
        <v>247</v>
      </c>
    </row>
    <row r="228" spans="1:1" x14ac:dyDescent="0.25">
      <c r="A228" t="s">
        <v>248</v>
      </c>
    </row>
    <row r="229" spans="1:1" x14ac:dyDescent="0.25">
      <c r="A229" t="s">
        <v>249</v>
      </c>
    </row>
    <row r="230" spans="1:1" x14ac:dyDescent="0.25">
      <c r="A230" t="s">
        <v>250</v>
      </c>
    </row>
    <row r="231" spans="1:1" x14ac:dyDescent="0.25">
      <c r="A231" t="s">
        <v>251</v>
      </c>
    </row>
    <row r="232" spans="1:1" x14ac:dyDescent="0.25">
      <c r="A232" t="s">
        <v>252</v>
      </c>
    </row>
    <row r="233" spans="1:1" x14ac:dyDescent="0.25">
      <c r="A233" t="s">
        <v>253</v>
      </c>
    </row>
    <row r="234" spans="1:1" x14ac:dyDescent="0.25">
      <c r="A234" t="s">
        <v>254</v>
      </c>
    </row>
    <row r="235" spans="1:1" x14ac:dyDescent="0.25">
      <c r="A235" t="s">
        <v>255</v>
      </c>
    </row>
    <row r="236" spans="1:1" x14ac:dyDescent="0.25">
      <c r="A236" t="s">
        <v>256</v>
      </c>
    </row>
    <row r="237" spans="1:1" x14ac:dyDescent="0.25">
      <c r="A237" t="s">
        <v>257</v>
      </c>
    </row>
    <row r="238" spans="1:1" x14ac:dyDescent="0.25">
      <c r="A238" t="s">
        <v>258</v>
      </c>
    </row>
    <row r="239" spans="1:1" x14ac:dyDescent="0.25">
      <c r="A239" t="s">
        <v>259</v>
      </c>
    </row>
    <row r="240" spans="1:1" x14ac:dyDescent="0.25">
      <c r="A240" t="s">
        <v>260</v>
      </c>
    </row>
    <row r="241" spans="1:1" x14ac:dyDescent="0.25">
      <c r="A241" t="s">
        <v>261</v>
      </c>
    </row>
    <row r="242" spans="1:1" x14ac:dyDescent="0.25">
      <c r="A242" t="s">
        <v>262</v>
      </c>
    </row>
    <row r="243" spans="1:1" x14ac:dyDescent="0.25">
      <c r="A243" t="s">
        <v>263</v>
      </c>
    </row>
    <row r="244" spans="1:1" x14ac:dyDescent="0.25">
      <c r="A244" t="s">
        <v>264</v>
      </c>
    </row>
    <row r="245" spans="1:1" x14ac:dyDescent="0.25">
      <c r="A245" t="s">
        <v>265</v>
      </c>
    </row>
    <row r="246" spans="1:1" x14ac:dyDescent="0.25">
      <c r="A246" t="s">
        <v>266</v>
      </c>
    </row>
    <row r="247" spans="1:1" x14ac:dyDescent="0.25">
      <c r="A247" t="s">
        <v>267</v>
      </c>
    </row>
    <row r="248" spans="1:1" x14ac:dyDescent="0.25">
      <c r="A248" t="s">
        <v>268</v>
      </c>
    </row>
    <row r="249" spans="1:1" x14ac:dyDescent="0.25">
      <c r="A249" t="s">
        <v>269</v>
      </c>
    </row>
    <row r="250" spans="1:1" x14ac:dyDescent="0.25">
      <c r="A250" t="s">
        <v>270</v>
      </c>
    </row>
    <row r="251" spans="1:1" x14ac:dyDescent="0.25">
      <c r="A251" t="s">
        <v>271</v>
      </c>
    </row>
    <row r="252" spans="1:1" x14ac:dyDescent="0.25">
      <c r="A252" t="s">
        <v>272</v>
      </c>
    </row>
    <row r="253" spans="1:1" x14ac:dyDescent="0.25">
      <c r="A253" t="s">
        <v>273</v>
      </c>
    </row>
    <row r="254" spans="1:1" x14ac:dyDescent="0.25">
      <c r="A254" t="s">
        <v>274</v>
      </c>
    </row>
    <row r="255" spans="1:1" x14ac:dyDescent="0.25">
      <c r="A255" t="s">
        <v>275</v>
      </c>
    </row>
    <row r="256" spans="1:1" x14ac:dyDescent="0.25">
      <c r="A256" t="s">
        <v>276</v>
      </c>
    </row>
    <row r="257" spans="1:7" x14ac:dyDescent="0.25">
      <c r="A257" t="s">
        <v>277</v>
      </c>
    </row>
    <row r="258" spans="1:7" x14ac:dyDescent="0.25">
      <c r="A258" t="s">
        <v>278</v>
      </c>
    </row>
    <row r="259" spans="1:7" x14ac:dyDescent="0.25">
      <c r="A259" t="s">
        <v>279</v>
      </c>
    </row>
    <row r="260" spans="1:7" x14ac:dyDescent="0.25">
      <c r="A260" t="s">
        <v>280</v>
      </c>
    </row>
    <row r="261" spans="1:7" x14ac:dyDescent="0.25">
      <c r="A261" t="s">
        <v>281</v>
      </c>
    </row>
    <row r="262" spans="1:7" x14ac:dyDescent="0.25">
      <c r="A262" t="s">
        <v>282</v>
      </c>
    </row>
    <row r="263" spans="1:7" x14ac:dyDescent="0.25">
      <c r="A263" t="s">
        <v>283</v>
      </c>
    </row>
    <row r="264" spans="1:7" x14ac:dyDescent="0.25">
      <c r="A264" t="s">
        <v>284</v>
      </c>
    </row>
    <row r="265" spans="1:7" x14ac:dyDescent="0.25">
      <c r="A265" t="s">
        <v>285</v>
      </c>
    </row>
    <row r="266" spans="1:7" x14ac:dyDescent="0.25">
      <c r="A266" t="s">
        <v>286</v>
      </c>
    </row>
    <row r="267" spans="1:7" x14ac:dyDescent="0.25">
      <c r="A267" t="s">
        <v>287</v>
      </c>
      <c r="B267" s="7"/>
      <c r="G267" s="2"/>
    </row>
    <row r="268" spans="1:7" x14ac:dyDescent="0.25">
      <c r="A268" t="s">
        <v>288</v>
      </c>
      <c r="G268" s="2"/>
    </row>
    <row r="269" spans="1:7" x14ac:dyDescent="0.25">
      <c r="A269" t="s">
        <v>289</v>
      </c>
    </row>
    <row r="270" spans="1:7" x14ac:dyDescent="0.25">
      <c r="A270" t="s">
        <v>290</v>
      </c>
    </row>
    <row r="271" spans="1:7" x14ac:dyDescent="0.25">
      <c r="A271" t="s">
        <v>291</v>
      </c>
      <c r="G271" s="2"/>
    </row>
    <row r="272" spans="1:7" x14ac:dyDescent="0.25">
      <c r="A272" t="s">
        <v>292</v>
      </c>
      <c r="G272" s="2"/>
    </row>
    <row r="273" spans="1:1" x14ac:dyDescent="0.25">
      <c r="A273" t="s">
        <v>293</v>
      </c>
    </row>
    <row r="274" spans="1:1" x14ac:dyDescent="0.25">
      <c r="A274" t="s">
        <v>294</v>
      </c>
    </row>
    <row r="275" spans="1:1" x14ac:dyDescent="0.25">
      <c r="A275" t="s">
        <v>295</v>
      </c>
    </row>
    <row r="276" spans="1:1" x14ac:dyDescent="0.25">
      <c r="A276" t="s">
        <v>296</v>
      </c>
    </row>
    <row r="277" spans="1:1" x14ac:dyDescent="0.25">
      <c r="A277" t="s">
        <v>297</v>
      </c>
    </row>
    <row r="278" spans="1:1" x14ac:dyDescent="0.25">
      <c r="A278" t="s">
        <v>298</v>
      </c>
    </row>
    <row r="279" spans="1:1" x14ac:dyDescent="0.25">
      <c r="A279" t="s">
        <v>299</v>
      </c>
    </row>
    <row r="280" spans="1:1" x14ac:dyDescent="0.25">
      <c r="A280" t="s">
        <v>300</v>
      </c>
    </row>
    <row r="281" spans="1:1" x14ac:dyDescent="0.25">
      <c r="A281" t="s">
        <v>301</v>
      </c>
    </row>
    <row r="282" spans="1:1" x14ac:dyDescent="0.25">
      <c r="A282" t="s">
        <v>302</v>
      </c>
    </row>
    <row r="283" spans="1:1" x14ac:dyDescent="0.25">
      <c r="A283" t="s">
        <v>303</v>
      </c>
    </row>
    <row r="284" spans="1:1" x14ac:dyDescent="0.25">
      <c r="A284" t="s">
        <v>304</v>
      </c>
    </row>
    <row r="285" spans="1:1" x14ac:dyDescent="0.25">
      <c r="A285" t="s">
        <v>305</v>
      </c>
    </row>
    <row r="286" spans="1:1" x14ac:dyDescent="0.25">
      <c r="A286" t="s">
        <v>306</v>
      </c>
    </row>
    <row r="287" spans="1:1" x14ac:dyDescent="0.25">
      <c r="A287" t="s">
        <v>307</v>
      </c>
    </row>
    <row r="288" spans="1:1" x14ac:dyDescent="0.25">
      <c r="A288" t="s">
        <v>308</v>
      </c>
    </row>
    <row r="289" spans="1:1" x14ac:dyDescent="0.25">
      <c r="A289" t="s">
        <v>309</v>
      </c>
    </row>
    <row r="290" spans="1:1" x14ac:dyDescent="0.25">
      <c r="A290" t="s">
        <v>310</v>
      </c>
    </row>
    <row r="291" spans="1:1" x14ac:dyDescent="0.25">
      <c r="A291" t="s">
        <v>311</v>
      </c>
    </row>
    <row r="292" spans="1:1" x14ac:dyDescent="0.25">
      <c r="A292" t="s">
        <v>312</v>
      </c>
    </row>
    <row r="293" spans="1:1" x14ac:dyDescent="0.25">
      <c r="A293" t="s">
        <v>313</v>
      </c>
    </row>
    <row r="294" spans="1:1" x14ac:dyDescent="0.25">
      <c r="A294" t="s">
        <v>314</v>
      </c>
    </row>
    <row r="295" spans="1:1" x14ac:dyDescent="0.25">
      <c r="A295" t="s">
        <v>315</v>
      </c>
    </row>
    <row r="296" spans="1:1" x14ac:dyDescent="0.25">
      <c r="A296" t="s">
        <v>316</v>
      </c>
    </row>
    <row r="297" spans="1:1" x14ac:dyDescent="0.25">
      <c r="A297" t="s">
        <v>317</v>
      </c>
    </row>
    <row r="298" spans="1:1" x14ac:dyDescent="0.25">
      <c r="A298" t="s">
        <v>318</v>
      </c>
    </row>
    <row r="299" spans="1:1" x14ac:dyDescent="0.25">
      <c r="A299" t="s">
        <v>319</v>
      </c>
    </row>
    <row r="300" spans="1:1" x14ac:dyDescent="0.25">
      <c r="A300" t="s">
        <v>320</v>
      </c>
    </row>
    <row r="301" spans="1:1" x14ac:dyDescent="0.25">
      <c r="A301" t="s">
        <v>321</v>
      </c>
    </row>
    <row r="302" spans="1:1" x14ac:dyDescent="0.25">
      <c r="A302" t="s">
        <v>322</v>
      </c>
    </row>
    <row r="303" spans="1:1" x14ac:dyDescent="0.25">
      <c r="A303" t="s">
        <v>323</v>
      </c>
    </row>
    <row r="304" spans="1:1" x14ac:dyDescent="0.25">
      <c r="A304" t="s">
        <v>324</v>
      </c>
    </row>
    <row r="305" spans="1:7" x14ac:dyDescent="0.25">
      <c r="A305" t="s">
        <v>325</v>
      </c>
    </row>
    <row r="306" spans="1:7" x14ac:dyDescent="0.25">
      <c r="A306" t="s">
        <v>326</v>
      </c>
    </row>
    <row r="307" spans="1:7" x14ac:dyDescent="0.25">
      <c r="A307" t="s">
        <v>327</v>
      </c>
    </row>
    <row r="308" spans="1:7" x14ac:dyDescent="0.25">
      <c r="A308" t="s">
        <v>328</v>
      </c>
    </row>
    <row r="309" spans="1:7" x14ac:dyDescent="0.25">
      <c r="A309" t="s">
        <v>329</v>
      </c>
    </row>
    <row r="310" spans="1:7" x14ac:dyDescent="0.25">
      <c r="A310" t="s">
        <v>330</v>
      </c>
    </row>
    <row r="311" spans="1:7" x14ac:dyDescent="0.25">
      <c r="A311" t="s">
        <v>331</v>
      </c>
    </row>
    <row r="312" spans="1:7" x14ac:dyDescent="0.25">
      <c r="A312" t="s">
        <v>332</v>
      </c>
    </row>
    <row r="313" spans="1:7" x14ac:dyDescent="0.25">
      <c r="A313" t="s">
        <v>333</v>
      </c>
    </row>
    <row r="314" spans="1:7" x14ac:dyDescent="0.25">
      <c r="A314" t="s">
        <v>334</v>
      </c>
    </row>
    <row r="315" spans="1:7" x14ac:dyDescent="0.25">
      <c r="A315" t="s">
        <v>335</v>
      </c>
      <c r="B315" s="7"/>
      <c r="G315" s="2"/>
    </row>
    <row r="316" spans="1:7" x14ac:dyDescent="0.25">
      <c r="A316" t="s">
        <v>336</v>
      </c>
      <c r="G316" s="2"/>
    </row>
    <row r="317" spans="1:7" x14ac:dyDescent="0.25">
      <c r="A317" t="s">
        <v>337</v>
      </c>
    </row>
    <row r="318" spans="1:7" x14ac:dyDescent="0.25">
      <c r="A318" t="s">
        <v>338</v>
      </c>
    </row>
    <row r="319" spans="1:7" x14ac:dyDescent="0.25">
      <c r="A319" t="s">
        <v>339</v>
      </c>
      <c r="G319" s="2"/>
    </row>
    <row r="320" spans="1:7" x14ac:dyDescent="0.25">
      <c r="A320" t="s">
        <v>340</v>
      </c>
      <c r="G320" s="2"/>
    </row>
    <row r="321" spans="1:1" x14ac:dyDescent="0.25">
      <c r="A321" t="s">
        <v>341</v>
      </c>
    </row>
    <row r="322" spans="1:1" x14ac:dyDescent="0.25">
      <c r="A322" t="s">
        <v>342</v>
      </c>
    </row>
    <row r="323" spans="1:1" x14ac:dyDescent="0.25">
      <c r="A323" t="s">
        <v>343</v>
      </c>
    </row>
    <row r="324" spans="1:1" x14ac:dyDescent="0.25">
      <c r="A324" t="s">
        <v>344</v>
      </c>
    </row>
    <row r="325" spans="1:1" x14ac:dyDescent="0.25">
      <c r="A325" t="s">
        <v>345</v>
      </c>
    </row>
    <row r="326" spans="1:1" x14ac:dyDescent="0.25">
      <c r="A326" t="s">
        <v>346</v>
      </c>
    </row>
    <row r="327" spans="1:1" x14ac:dyDescent="0.25">
      <c r="A327" t="s">
        <v>347</v>
      </c>
    </row>
    <row r="328" spans="1:1" x14ac:dyDescent="0.25">
      <c r="A328" t="s">
        <v>348</v>
      </c>
    </row>
    <row r="329" spans="1:1" x14ac:dyDescent="0.25">
      <c r="A329" t="s">
        <v>349</v>
      </c>
    </row>
    <row r="330" spans="1:1" x14ac:dyDescent="0.25">
      <c r="A330" t="s">
        <v>350</v>
      </c>
    </row>
    <row r="331" spans="1:1" x14ac:dyDescent="0.25">
      <c r="A331" t="s">
        <v>351</v>
      </c>
    </row>
    <row r="332" spans="1:1" x14ac:dyDescent="0.25">
      <c r="A332" t="s">
        <v>352</v>
      </c>
    </row>
    <row r="333" spans="1:1" x14ac:dyDescent="0.25">
      <c r="A333" t="s">
        <v>353</v>
      </c>
    </row>
    <row r="334" spans="1:1" x14ac:dyDescent="0.25">
      <c r="A334" t="s">
        <v>354</v>
      </c>
    </row>
    <row r="335" spans="1:1" x14ac:dyDescent="0.25">
      <c r="A335" t="s">
        <v>355</v>
      </c>
    </row>
    <row r="336" spans="1:1" x14ac:dyDescent="0.25">
      <c r="A336" t="s">
        <v>356</v>
      </c>
    </row>
    <row r="337" spans="1:1" x14ac:dyDescent="0.25">
      <c r="A337" t="s">
        <v>357</v>
      </c>
    </row>
    <row r="338" spans="1:1" x14ac:dyDescent="0.25">
      <c r="A338" t="s">
        <v>358</v>
      </c>
    </row>
    <row r="339" spans="1:1" x14ac:dyDescent="0.25">
      <c r="A339" t="s">
        <v>359</v>
      </c>
    </row>
    <row r="340" spans="1:1" x14ac:dyDescent="0.25">
      <c r="A340" t="s">
        <v>360</v>
      </c>
    </row>
    <row r="341" spans="1:1" x14ac:dyDescent="0.25">
      <c r="A341" t="s">
        <v>361</v>
      </c>
    </row>
    <row r="342" spans="1:1" x14ac:dyDescent="0.25">
      <c r="A342" t="s">
        <v>362</v>
      </c>
    </row>
    <row r="343" spans="1:1" x14ac:dyDescent="0.25">
      <c r="A343" t="s">
        <v>363</v>
      </c>
    </row>
    <row r="344" spans="1:1" x14ac:dyDescent="0.25">
      <c r="A344" t="s">
        <v>364</v>
      </c>
    </row>
    <row r="345" spans="1:1" x14ac:dyDescent="0.25">
      <c r="A345" t="s">
        <v>365</v>
      </c>
    </row>
    <row r="346" spans="1:1" x14ac:dyDescent="0.25">
      <c r="A346" t="s">
        <v>366</v>
      </c>
    </row>
    <row r="347" spans="1:1" x14ac:dyDescent="0.25">
      <c r="A347" t="s">
        <v>367</v>
      </c>
    </row>
    <row r="348" spans="1:1" x14ac:dyDescent="0.25">
      <c r="A348" t="s">
        <v>368</v>
      </c>
    </row>
    <row r="349" spans="1:1" x14ac:dyDescent="0.25">
      <c r="A349" t="s">
        <v>369</v>
      </c>
    </row>
    <row r="350" spans="1:1" x14ac:dyDescent="0.25">
      <c r="A350" t="s">
        <v>370</v>
      </c>
    </row>
    <row r="351" spans="1:1" x14ac:dyDescent="0.25">
      <c r="A351" t="s">
        <v>371</v>
      </c>
    </row>
    <row r="352" spans="1:1" x14ac:dyDescent="0.25">
      <c r="A352" t="s">
        <v>372</v>
      </c>
    </row>
    <row r="353" spans="1:7" x14ac:dyDescent="0.25">
      <c r="A353" t="s">
        <v>373</v>
      </c>
    </row>
    <row r="354" spans="1:7" x14ac:dyDescent="0.25">
      <c r="A354" t="s">
        <v>374</v>
      </c>
    </row>
    <row r="355" spans="1:7" x14ac:dyDescent="0.25">
      <c r="A355" t="s">
        <v>375</v>
      </c>
    </row>
    <row r="356" spans="1:7" x14ac:dyDescent="0.25">
      <c r="A356" t="s">
        <v>376</v>
      </c>
    </row>
    <row r="357" spans="1:7" x14ac:dyDescent="0.25">
      <c r="A357" t="s">
        <v>377</v>
      </c>
    </row>
    <row r="358" spans="1:7" x14ac:dyDescent="0.25">
      <c r="A358" t="s">
        <v>378</v>
      </c>
    </row>
    <row r="359" spans="1:7" x14ac:dyDescent="0.25">
      <c r="A359" t="s">
        <v>379</v>
      </c>
    </row>
    <row r="360" spans="1:7" x14ac:dyDescent="0.25">
      <c r="A360" t="s">
        <v>380</v>
      </c>
    </row>
    <row r="361" spans="1:7" x14ac:dyDescent="0.25">
      <c r="A361" t="s">
        <v>381</v>
      </c>
    </row>
    <row r="362" spans="1:7" x14ac:dyDescent="0.25">
      <c r="A362" t="s">
        <v>382</v>
      </c>
    </row>
    <row r="363" spans="1:7" x14ac:dyDescent="0.25">
      <c r="A363" t="s">
        <v>383</v>
      </c>
      <c r="B363" s="7"/>
      <c r="G363" s="2"/>
    </row>
    <row r="364" spans="1:7" x14ac:dyDescent="0.25">
      <c r="A364" t="s">
        <v>384</v>
      </c>
      <c r="G364" s="2"/>
    </row>
    <row r="365" spans="1:7" x14ac:dyDescent="0.25">
      <c r="A365" t="s">
        <v>385</v>
      </c>
    </row>
    <row r="366" spans="1:7" x14ac:dyDescent="0.25">
      <c r="A366" t="s">
        <v>386</v>
      </c>
    </row>
    <row r="367" spans="1:7" x14ac:dyDescent="0.25">
      <c r="A367" t="s">
        <v>387</v>
      </c>
      <c r="G367" s="2"/>
    </row>
    <row r="368" spans="1:7" x14ac:dyDescent="0.25">
      <c r="A368" t="s">
        <v>388</v>
      </c>
      <c r="G368" s="2"/>
    </row>
    <row r="369" spans="1:1" x14ac:dyDescent="0.25">
      <c r="A369" t="s">
        <v>389</v>
      </c>
    </row>
    <row r="370" spans="1:1" x14ac:dyDescent="0.25">
      <c r="A370" t="s">
        <v>390</v>
      </c>
    </row>
    <row r="371" spans="1:1" x14ac:dyDescent="0.25">
      <c r="A371" t="s">
        <v>391</v>
      </c>
    </row>
    <row r="372" spans="1:1" x14ac:dyDescent="0.25">
      <c r="A372" t="s">
        <v>392</v>
      </c>
    </row>
    <row r="373" spans="1:1" x14ac:dyDescent="0.25">
      <c r="A373" t="s">
        <v>393</v>
      </c>
    </row>
    <row r="374" spans="1:1" x14ac:dyDescent="0.25">
      <c r="A374" t="s">
        <v>394</v>
      </c>
    </row>
    <row r="375" spans="1:1" x14ac:dyDescent="0.25">
      <c r="A375" t="s">
        <v>395</v>
      </c>
    </row>
    <row r="376" spans="1:1" x14ac:dyDescent="0.25">
      <c r="A376" t="s">
        <v>396</v>
      </c>
    </row>
    <row r="377" spans="1:1" x14ac:dyDescent="0.25">
      <c r="A377" t="s">
        <v>397</v>
      </c>
    </row>
    <row r="378" spans="1:1" x14ac:dyDescent="0.25">
      <c r="A378" t="s">
        <v>398</v>
      </c>
    </row>
    <row r="379" spans="1:1" x14ac:dyDescent="0.25">
      <c r="A379" t="s">
        <v>399</v>
      </c>
    </row>
    <row r="380" spans="1:1" x14ac:dyDescent="0.25">
      <c r="A380" t="s">
        <v>400</v>
      </c>
    </row>
    <row r="381" spans="1:1" x14ac:dyDescent="0.25">
      <c r="A381" t="s">
        <v>401</v>
      </c>
    </row>
    <row r="382" spans="1:1" x14ac:dyDescent="0.25">
      <c r="A382" t="s">
        <v>402</v>
      </c>
    </row>
    <row r="383" spans="1:1" x14ac:dyDescent="0.25">
      <c r="A383" t="s">
        <v>403</v>
      </c>
    </row>
    <row r="384" spans="1:1" x14ac:dyDescent="0.25">
      <c r="A384" t="s">
        <v>404</v>
      </c>
    </row>
    <row r="385" spans="1:1" x14ac:dyDescent="0.25">
      <c r="A385" t="s">
        <v>405</v>
      </c>
    </row>
  </sheetData>
  <conditionalFormatting sqref="A1:XFD1048576">
    <cfRule type="expression" dxfId="0" priority="1">
      <formula>OR(LEFT($A1,1)="B",LEFT($A1,1)="D",LEFT($A1,1)="F",LEFT($A1,1)="H",     LEFT($A1,1)="J",LEFT($A1,1)="L",LEFT($A1,1)="N",LEFT($A1,1)="P")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F96C9-A285-474B-9B98-7D416E684DFC}">
  <dimension ref="A1:S7"/>
  <sheetViews>
    <sheetView tabSelected="1" workbookViewId="0">
      <selection activeCell="G11" sqref="G11"/>
    </sheetView>
  </sheetViews>
  <sheetFormatPr defaultRowHeight="15" x14ac:dyDescent="0.25"/>
  <cols>
    <col min="1" max="1" width="13.140625" bestFit="1" customWidth="1"/>
    <col min="2" max="25" width="7.5703125" customWidth="1"/>
  </cols>
  <sheetData>
    <row r="1" spans="1:19" x14ac:dyDescent="0.25">
      <c r="A1" s="3" t="s">
        <v>18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/>
      <c r="O1" s="1"/>
      <c r="P1" s="1"/>
      <c r="Q1" s="1"/>
      <c r="R1" s="1"/>
      <c r="S1" s="1"/>
    </row>
    <row r="2" spans="1:19" x14ac:dyDescent="0.25">
      <c r="A2" s="3" t="s">
        <v>0</v>
      </c>
      <c r="B2" s="1" t="s">
        <v>27</v>
      </c>
      <c r="C2" s="1" t="s">
        <v>27</v>
      </c>
      <c r="D2" s="1" t="s">
        <v>27</v>
      </c>
      <c r="E2" s="1" t="s">
        <v>27</v>
      </c>
      <c r="F2" s="1" t="s">
        <v>27</v>
      </c>
      <c r="G2" s="1" t="s">
        <v>27</v>
      </c>
      <c r="H2" s="1" t="s">
        <v>27</v>
      </c>
      <c r="I2" s="1" t="s">
        <v>27</v>
      </c>
      <c r="J2" s="1" t="s">
        <v>27</v>
      </c>
      <c r="K2" s="1" t="s">
        <v>27</v>
      </c>
      <c r="L2" s="1" t="s">
        <v>27</v>
      </c>
      <c r="M2" s="1" t="s">
        <v>27</v>
      </c>
      <c r="N2" s="1"/>
      <c r="O2" s="1"/>
      <c r="P2" s="1"/>
      <c r="Q2" s="1"/>
      <c r="R2" s="1"/>
      <c r="S2" s="1"/>
    </row>
    <row r="3" spans="1:19" x14ac:dyDescent="0.25">
      <c r="A3" s="3" t="s">
        <v>1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/>
      <c r="O3" s="1"/>
      <c r="P3" s="1"/>
      <c r="Q3" s="1"/>
      <c r="R3" s="1"/>
      <c r="S3" s="1"/>
    </row>
    <row r="4" spans="1:19" x14ac:dyDescent="0.25">
      <c r="A4" s="3" t="s">
        <v>2</v>
      </c>
      <c r="B4" s="1" t="s">
        <v>8</v>
      </c>
      <c r="C4" s="1" t="s">
        <v>9</v>
      </c>
      <c r="D4" s="1" t="s">
        <v>12</v>
      </c>
      <c r="E4" s="1" t="s">
        <v>13</v>
      </c>
      <c r="F4" s="1" t="s">
        <v>21</v>
      </c>
      <c r="G4" s="1" t="s">
        <v>22</v>
      </c>
      <c r="H4" s="1" t="s">
        <v>55</v>
      </c>
      <c r="I4" s="1" t="s">
        <v>56</v>
      </c>
      <c r="J4" s="1" t="s">
        <v>59</v>
      </c>
      <c r="K4" s="1" t="s">
        <v>60</v>
      </c>
      <c r="L4" s="1" t="s">
        <v>19</v>
      </c>
      <c r="M4" s="1" t="s">
        <v>25</v>
      </c>
      <c r="N4" s="1"/>
      <c r="O4" s="1"/>
      <c r="P4" s="1"/>
      <c r="Q4" s="1"/>
      <c r="R4" s="1"/>
      <c r="S4" s="1"/>
    </row>
    <row r="5" spans="1:19" x14ac:dyDescent="0.25">
      <c r="A5" s="3" t="s">
        <v>3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/>
      <c r="O5" s="1"/>
      <c r="P5" s="1"/>
      <c r="Q5" s="1"/>
      <c r="R5" s="1"/>
      <c r="S5" s="1"/>
    </row>
    <row r="6" spans="1:19" x14ac:dyDescent="0.25">
      <c r="A6" s="3" t="s">
        <v>4</v>
      </c>
      <c r="B6" s="1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/>
      <c r="O6" s="1"/>
      <c r="P6" s="1"/>
      <c r="Q6" s="1"/>
      <c r="R6" s="1"/>
      <c r="S6" s="1"/>
    </row>
    <row r="7" spans="1:19" x14ac:dyDescent="0.25">
      <c r="A7" s="3" t="s">
        <v>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/>
      <c r="O7" s="1"/>
      <c r="P7" s="1"/>
      <c r="Q7" s="1"/>
      <c r="R7" s="1"/>
      <c r="S7" s="1"/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E2792-F3D1-44B6-8C33-BE9E7374C1B5}">
  <sheetPr>
    <pageSetUpPr fitToPage="1"/>
  </sheetPr>
  <dimension ref="A1:K38"/>
  <sheetViews>
    <sheetView workbookViewId="0">
      <selection activeCell="E29" sqref="E29"/>
    </sheetView>
  </sheetViews>
  <sheetFormatPr defaultColWidth="9.140625" defaultRowHeight="15" x14ac:dyDescent="0.25"/>
  <cols>
    <col min="1" max="1" width="18.140625" style="7" bestFit="1" customWidth="1"/>
    <col min="2" max="2" width="29.5703125" style="7" bestFit="1" customWidth="1"/>
    <col min="3" max="3" width="14.28515625" style="7" bestFit="1" customWidth="1"/>
    <col min="4" max="4" width="14.28515625" style="7" customWidth="1"/>
    <col min="5" max="5" width="18.7109375" style="7" bestFit="1" customWidth="1"/>
    <col min="6" max="6" width="18.28515625" style="7" bestFit="1" customWidth="1"/>
    <col min="7" max="7" width="13.28515625" style="7" bestFit="1" customWidth="1"/>
    <col min="8" max="9" width="15.5703125" style="7" bestFit="1" customWidth="1"/>
    <col min="10" max="10" width="16" style="7" bestFit="1" customWidth="1"/>
    <col min="11" max="11" width="14.5703125" style="7" bestFit="1" customWidth="1"/>
    <col min="12" max="12" width="17.7109375" style="7" customWidth="1"/>
    <col min="13" max="13" width="9.140625" style="7"/>
    <col min="14" max="14" width="18.7109375" style="7" bestFit="1" customWidth="1"/>
    <col min="15" max="15" width="15.42578125" style="7" bestFit="1" customWidth="1"/>
    <col min="16" max="16" width="13.28515625" style="7" bestFit="1" customWidth="1"/>
    <col min="17" max="17" width="15.5703125" style="7" bestFit="1" customWidth="1"/>
    <col min="18" max="18" width="16" style="7" bestFit="1" customWidth="1"/>
    <col min="19" max="19" width="14.5703125" style="7" bestFit="1" customWidth="1"/>
    <col min="20" max="16384" width="9.140625" style="7"/>
  </cols>
  <sheetData>
    <row r="1" spans="1:9" x14ac:dyDescent="0.25">
      <c r="A1" s="21" t="s">
        <v>413</v>
      </c>
      <c r="B1" s="21"/>
      <c r="C1" s="22"/>
      <c r="D1" s="6"/>
    </row>
    <row r="2" spans="1:9" ht="15.75" x14ac:dyDescent="0.25">
      <c r="A2" s="8" t="s">
        <v>450</v>
      </c>
      <c r="B2" s="8" t="s">
        <v>430</v>
      </c>
      <c r="C2" s="8" t="s">
        <v>414</v>
      </c>
      <c r="D2" s="8" t="s">
        <v>415</v>
      </c>
      <c r="E2" s="8" t="s">
        <v>416</v>
      </c>
      <c r="F2" s="8" t="s">
        <v>417</v>
      </c>
      <c r="G2" s="8" t="s">
        <v>418</v>
      </c>
      <c r="H2" s="8" t="s">
        <v>419</v>
      </c>
      <c r="I2" s="8" t="s">
        <v>420</v>
      </c>
    </row>
    <row r="3" spans="1:9" x14ac:dyDescent="0.25">
      <c r="A3" s="8" t="s">
        <v>70</v>
      </c>
      <c r="B3" s="9" t="str">
        <f t="shared" ref="B3:B26" si="0">C3&amp;"_"&amp;D3</f>
        <v>SI-157C11_P5158</v>
      </c>
      <c r="C3" s="9" t="s">
        <v>480</v>
      </c>
      <c r="D3" s="9" t="s">
        <v>481</v>
      </c>
      <c r="E3" s="9">
        <v>4.3540000000000001</v>
      </c>
      <c r="F3" s="9">
        <v>5.0000000000000001E-3</v>
      </c>
      <c r="G3" s="9">
        <v>1000</v>
      </c>
      <c r="H3" s="10">
        <f t="shared" ref="H3:H26" si="1">($F3*$G3)/E3</f>
        <v>1.1483693155718879</v>
      </c>
      <c r="I3" s="10">
        <f t="shared" ref="I3:I26" si="2">$G3-$H3</f>
        <v>998.85163068442807</v>
      </c>
    </row>
    <row r="4" spans="1:9" x14ac:dyDescent="0.25">
      <c r="A4" s="8" t="s">
        <v>71</v>
      </c>
      <c r="B4" s="9" t="str">
        <f t="shared" si="0"/>
        <v>SI-157C12_P5159</v>
      </c>
      <c r="C4" s="9" t="s">
        <v>482</v>
      </c>
      <c r="D4" s="9" t="s">
        <v>483</v>
      </c>
      <c r="E4" s="9">
        <v>5.5049999999999999</v>
      </c>
      <c r="F4" s="9">
        <v>5.0000000000000001E-3</v>
      </c>
      <c r="G4" s="9">
        <v>1000</v>
      </c>
      <c r="H4" s="10">
        <f t="shared" si="1"/>
        <v>0.90826521344232514</v>
      </c>
      <c r="I4" s="10">
        <f t="shared" si="2"/>
        <v>999.09173478655771</v>
      </c>
    </row>
    <row r="5" spans="1:9" x14ac:dyDescent="0.25">
      <c r="A5" s="8" t="s">
        <v>72</v>
      </c>
      <c r="B5" s="9" t="str">
        <f t="shared" si="0"/>
        <v>SI-157C13_P5198</v>
      </c>
      <c r="C5" s="9" t="s">
        <v>484</v>
      </c>
      <c r="D5" s="9" t="s">
        <v>485</v>
      </c>
      <c r="E5" s="9">
        <v>13.827</v>
      </c>
      <c r="F5" s="9">
        <v>5.0000000000000001E-3</v>
      </c>
      <c r="G5" s="9">
        <v>1000</v>
      </c>
      <c r="H5" s="10">
        <f t="shared" si="1"/>
        <v>0.36161134013162655</v>
      </c>
      <c r="I5" s="10">
        <f t="shared" si="2"/>
        <v>999.63838865986838</v>
      </c>
    </row>
    <row r="6" spans="1:9" x14ac:dyDescent="0.25">
      <c r="A6" s="8" t="s">
        <v>73</v>
      </c>
      <c r="B6" s="9" t="str">
        <f t="shared" si="0"/>
        <v>SI-157C14_P5199</v>
      </c>
      <c r="C6" s="9" t="s">
        <v>486</v>
      </c>
      <c r="D6" s="9" t="s">
        <v>487</v>
      </c>
      <c r="E6" s="9">
        <v>13.223000000000001</v>
      </c>
      <c r="F6" s="9">
        <v>5.0000000000000001E-3</v>
      </c>
      <c r="G6" s="9">
        <v>1000</v>
      </c>
      <c r="H6" s="10">
        <f t="shared" si="1"/>
        <v>0.37812901762081219</v>
      </c>
      <c r="I6" s="10">
        <f t="shared" si="2"/>
        <v>999.62187098237916</v>
      </c>
    </row>
    <row r="7" spans="1:9" x14ac:dyDescent="0.25">
      <c r="A7" s="8" t="s">
        <v>74</v>
      </c>
      <c r="B7" s="9" t="str">
        <f t="shared" si="0"/>
        <v>SI-157C15_P5235</v>
      </c>
      <c r="C7" s="9" t="s">
        <v>488</v>
      </c>
      <c r="D7" s="9" t="s">
        <v>489</v>
      </c>
      <c r="E7" s="9">
        <v>10.452</v>
      </c>
      <c r="F7" s="9">
        <v>5.0000000000000001E-3</v>
      </c>
      <c r="G7" s="9">
        <v>1000</v>
      </c>
      <c r="H7" s="10">
        <f t="shared" si="1"/>
        <v>0.47837734404898585</v>
      </c>
      <c r="I7" s="10">
        <f t="shared" si="2"/>
        <v>999.52162265595098</v>
      </c>
    </row>
    <row r="8" spans="1:9" x14ac:dyDescent="0.25">
      <c r="A8" s="8" t="s">
        <v>75</v>
      </c>
      <c r="B8" s="9" t="str">
        <f t="shared" si="0"/>
        <v>SI-157C16_P5236</v>
      </c>
      <c r="C8" s="9" t="s">
        <v>490</v>
      </c>
      <c r="D8" s="9" t="s">
        <v>491</v>
      </c>
      <c r="E8" s="9">
        <v>12.61</v>
      </c>
      <c r="F8" s="9">
        <v>5.0000000000000001E-3</v>
      </c>
      <c r="G8" s="9">
        <v>1000</v>
      </c>
      <c r="H8" s="10">
        <f t="shared" si="1"/>
        <v>0.39651070578905634</v>
      </c>
      <c r="I8" s="10">
        <f t="shared" si="2"/>
        <v>999.60348929421093</v>
      </c>
    </row>
    <row r="9" spans="1:9" x14ac:dyDescent="0.25">
      <c r="A9" s="8" t="s">
        <v>76</v>
      </c>
      <c r="B9" s="9" t="str">
        <f t="shared" si="0"/>
        <v>SI-157C17_P5237</v>
      </c>
      <c r="C9" s="9" t="s">
        <v>492</v>
      </c>
      <c r="D9" s="9" t="s">
        <v>493</v>
      </c>
      <c r="E9" s="9">
        <v>14.194000000000001</v>
      </c>
      <c r="F9" s="9">
        <v>5.0000000000000001E-3</v>
      </c>
      <c r="G9" s="9">
        <v>1000</v>
      </c>
      <c r="H9" s="10">
        <f t="shared" si="1"/>
        <v>0.35226151895166968</v>
      </c>
      <c r="I9" s="10">
        <f t="shared" si="2"/>
        <v>999.64773848104835</v>
      </c>
    </row>
    <row r="10" spans="1:9" x14ac:dyDescent="0.25">
      <c r="A10" s="8" t="s">
        <v>77</v>
      </c>
      <c r="B10" s="9" t="str">
        <f t="shared" si="0"/>
        <v>SI-157C18_P5317</v>
      </c>
      <c r="C10" s="9" t="s">
        <v>494</v>
      </c>
      <c r="D10" s="9" t="s">
        <v>495</v>
      </c>
      <c r="E10" s="9">
        <v>11.85</v>
      </c>
      <c r="F10" s="9">
        <v>5.0000000000000001E-3</v>
      </c>
      <c r="G10" s="9">
        <v>1000</v>
      </c>
      <c r="H10" s="10">
        <f t="shared" si="1"/>
        <v>0.4219409282700422</v>
      </c>
      <c r="I10" s="10">
        <f t="shared" si="2"/>
        <v>999.57805907172997</v>
      </c>
    </row>
    <row r="11" spans="1:9" x14ac:dyDescent="0.25">
      <c r="A11" s="8" t="s">
        <v>78</v>
      </c>
      <c r="B11" s="9" t="str">
        <f t="shared" si="0"/>
        <v>SI-83X1_P5364</v>
      </c>
      <c r="C11" s="9" t="s">
        <v>479</v>
      </c>
      <c r="D11" s="9" t="s">
        <v>498</v>
      </c>
      <c r="E11" s="9">
        <v>8.35</v>
      </c>
      <c r="F11" s="9">
        <v>5.0000000000000001E-3</v>
      </c>
      <c r="G11" s="9">
        <v>1000</v>
      </c>
      <c r="H11" s="10">
        <f t="shared" si="1"/>
        <v>0.5988023952095809</v>
      </c>
      <c r="I11" s="10">
        <f t="shared" si="2"/>
        <v>999.40119760479047</v>
      </c>
    </row>
    <row r="12" spans="1:9" x14ac:dyDescent="0.25">
      <c r="A12" s="8" t="s">
        <v>79</v>
      </c>
      <c r="B12" s="9" t="str">
        <f t="shared" si="0"/>
        <v>SI-157C19_P5365</v>
      </c>
      <c r="C12" s="9" t="s">
        <v>496</v>
      </c>
      <c r="D12" s="9" t="s">
        <v>497</v>
      </c>
      <c r="E12" s="9">
        <v>5.85</v>
      </c>
      <c r="F12" s="9">
        <v>5.0000000000000001E-3</v>
      </c>
      <c r="G12" s="9">
        <v>1000</v>
      </c>
      <c r="H12" s="10">
        <f t="shared" si="1"/>
        <v>0.85470085470085477</v>
      </c>
      <c r="I12" s="10">
        <f t="shared" si="2"/>
        <v>999.14529914529919</v>
      </c>
    </row>
    <row r="13" spans="1:9" x14ac:dyDescent="0.25">
      <c r="A13" s="8" t="s">
        <v>80</v>
      </c>
      <c r="B13" s="9" t="str">
        <f t="shared" si="0"/>
        <v>SI-157X47_P5533</v>
      </c>
      <c r="C13" s="16" t="s">
        <v>451</v>
      </c>
      <c r="D13" s="16" t="s">
        <v>452</v>
      </c>
      <c r="E13" s="16">
        <v>3.972</v>
      </c>
      <c r="F13" s="9">
        <v>5.0000000000000001E-3</v>
      </c>
      <c r="G13" s="9">
        <v>1000</v>
      </c>
      <c r="H13" s="10">
        <f t="shared" si="1"/>
        <v>1.2588116817724069</v>
      </c>
      <c r="I13" s="10">
        <f t="shared" si="2"/>
        <v>998.74118831822761</v>
      </c>
    </row>
    <row r="14" spans="1:9" x14ac:dyDescent="0.25">
      <c r="A14" s="8" t="s">
        <v>81</v>
      </c>
      <c r="B14" s="9" t="str">
        <f t="shared" si="0"/>
        <v>SI-157X56_P5534</v>
      </c>
      <c r="C14" s="16" t="s">
        <v>453</v>
      </c>
      <c r="D14" s="16" t="s">
        <v>454</v>
      </c>
      <c r="E14" s="16">
        <v>4.4080000000000004</v>
      </c>
      <c r="F14" s="9">
        <v>5.0000000000000001E-3</v>
      </c>
      <c r="G14" s="9">
        <v>1000</v>
      </c>
      <c r="H14" s="10">
        <f t="shared" si="1"/>
        <v>1.1343012704174227</v>
      </c>
      <c r="I14" s="10">
        <f t="shared" si="2"/>
        <v>998.86569872958262</v>
      </c>
    </row>
    <row r="15" spans="1:9" x14ac:dyDescent="0.25">
      <c r="A15" s="8" t="s">
        <v>94</v>
      </c>
      <c r="B15" s="9" t="str">
        <f t="shared" si="0"/>
        <v>SI-157X61_P5535</v>
      </c>
      <c r="C15" s="16" t="s">
        <v>455</v>
      </c>
      <c r="D15" s="16" t="s">
        <v>456</v>
      </c>
      <c r="E15" s="16">
        <v>1.3979999999999999</v>
      </c>
      <c r="F15" s="9">
        <v>5.0000000000000001E-3</v>
      </c>
      <c r="G15" s="9">
        <v>1000</v>
      </c>
      <c r="H15" s="10">
        <f t="shared" si="1"/>
        <v>3.5765379113018598</v>
      </c>
      <c r="I15" s="10">
        <f t="shared" si="2"/>
        <v>996.4234620886981</v>
      </c>
    </row>
    <row r="16" spans="1:9" x14ac:dyDescent="0.25">
      <c r="A16" s="8" t="s">
        <v>95</v>
      </c>
      <c r="B16" s="9" t="str">
        <f t="shared" si="0"/>
        <v>SI-157X62_P5536</v>
      </c>
      <c r="C16" s="16" t="s">
        <v>457</v>
      </c>
      <c r="D16" s="16" t="s">
        <v>458</v>
      </c>
      <c r="E16" s="16">
        <v>1.829</v>
      </c>
      <c r="F16" s="9">
        <v>5.0000000000000001E-3</v>
      </c>
      <c r="G16" s="9">
        <v>1000</v>
      </c>
      <c r="H16" s="10">
        <f t="shared" si="1"/>
        <v>2.7337342810278842</v>
      </c>
      <c r="I16" s="10">
        <f t="shared" si="2"/>
        <v>997.26626571897214</v>
      </c>
    </row>
    <row r="17" spans="1:11" x14ac:dyDescent="0.25">
      <c r="A17" s="8" t="s">
        <v>96</v>
      </c>
      <c r="B17" s="9" t="str">
        <f t="shared" si="0"/>
        <v>SI-157X63_P5537</v>
      </c>
      <c r="C17" s="9" t="s">
        <v>459</v>
      </c>
      <c r="D17" s="9" t="s">
        <v>460</v>
      </c>
      <c r="E17" s="9">
        <v>2.343</v>
      </c>
      <c r="F17" s="9">
        <v>5.0000000000000001E-3</v>
      </c>
      <c r="G17" s="9">
        <v>1000</v>
      </c>
      <c r="H17" s="10">
        <f t="shared" si="1"/>
        <v>2.1340162185232607</v>
      </c>
      <c r="I17" s="10">
        <f t="shared" si="2"/>
        <v>997.86598378147676</v>
      </c>
    </row>
    <row r="18" spans="1:11" x14ac:dyDescent="0.25">
      <c r="A18" s="8" t="s">
        <v>97</v>
      </c>
      <c r="B18" s="9" t="str">
        <f t="shared" si="0"/>
        <v>SI-157X64_P5538</v>
      </c>
      <c r="C18" s="9" t="s">
        <v>461</v>
      </c>
      <c r="D18" s="9" t="s">
        <v>462</v>
      </c>
      <c r="E18" s="9">
        <v>1.72</v>
      </c>
      <c r="F18" s="9">
        <v>5.0000000000000001E-3</v>
      </c>
      <c r="G18" s="9">
        <v>1000</v>
      </c>
      <c r="H18" s="10">
        <f t="shared" si="1"/>
        <v>2.9069767441860463</v>
      </c>
      <c r="I18" s="10">
        <f t="shared" si="2"/>
        <v>997.09302325581393</v>
      </c>
    </row>
    <row r="19" spans="1:11" x14ac:dyDescent="0.25">
      <c r="A19" s="8" t="s">
        <v>98</v>
      </c>
      <c r="B19" s="9" t="str">
        <f t="shared" si="0"/>
        <v>SI-157X49_P5563</v>
      </c>
      <c r="C19" s="9" t="s">
        <v>463</v>
      </c>
      <c r="D19" s="9" t="s">
        <v>464</v>
      </c>
      <c r="E19" s="9">
        <v>2.9009999999999998</v>
      </c>
      <c r="F19" s="9">
        <v>5.0000000000000001E-3</v>
      </c>
      <c r="G19" s="9">
        <v>1000</v>
      </c>
      <c r="H19" s="10">
        <f t="shared" si="1"/>
        <v>1.7235436056532232</v>
      </c>
      <c r="I19" s="10">
        <f t="shared" si="2"/>
        <v>998.27645639434672</v>
      </c>
    </row>
    <row r="20" spans="1:11" x14ac:dyDescent="0.25">
      <c r="A20" s="8" t="s">
        <v>99</v>
      </c>
      <c r="B20" s="9" t="str">
        <f t="shared" si="0"/>
        <v>SI-157X50_P5564</v>
      </c>
      <c r="C20" s="9" t="s">
        <v>465</v>
      </c>
      <c r="D20" s="9" t="s">
        <v>466</v>
      </c>
      <c r="E20" s="9">
        <v>2.5790000000000002</v>
      </c>
      <c r="F20" s="9">
        <v>5.0000000000000001E-3</v>
      </c>
      <c r="G20" s="9">
        <v>1000</v>
      </c>
      <c r="H20" s="10">
        <f t="shared" si="1"/>
        <v>1.9387359441644048</v>
      </c>
      <c r="I20" s="10">
        <f t="shared" si="2"/>
        <v>998.06126405583564</v>
      </c>
      <c r="J20" s="13"/>
    </row>
    <row r="21" spans="1:11" x14ac:dyDescent="0.25">
      <c r="A21" s="8" t="s">
        <v>100</v>
      </c>
      <c r="B21" s="9" t="str">
        <f t="shared" si="0"/>
        <v>SI-157X53_P5565</v>
      </c>
      <c r="C21" s="17" t="s">
        <v>467</v>
      </c>
      <c r="D21" s="17" t="s">
        <v>468</v>
      </c>
      <c r="E21" s="9">
        <v>0.94699999999999995</v>
      </c>
      <c r="F21" s="9">
        <v>5.0000000000000001E-3</v>
      </c>
      <c r="G21" s="9">
        <v>1000</v>
      </c>
      <c r="H21" s="10">
        <f t="shared" si="1"/>
        <v>5.2798310454065476</v>
      </c>
      <c r="I21" s="10">
        <f t="shared" si="2"/>
        <v>994.72016895459342</v>
      </c>
      <c r="J21" s="13"/>
    </row>
    <row r="22" spans="1:11" x14ac:dyDescent="0.25">
      <c r="A22" s="8" t="s">
        <v>101</v>
      </c>
      <c r="B22" s="9" t="str">
        <f t="shared" si="0"/>
        <v>SI-157X57_P5566</v>
      </c>
      <c r="C22" s="17" t="s">
        <v>469</v>
      </c>
      <c r="D22" s="17" t="s">
        <v>470</v>
      </c>
      <c r="E22" s="9">
        <v>1.4390000000000001</v>
      </c>
      <c r="F22" s="9">
        <v>5.0000000000000001E-3</v>
      </c>
      <c r="G22" s="9">
        <v>1000</v>
      </c>
      <c r="H22" s="10">
        <f t="shared" si="1"/>
        <v>3.4746351633078527</v>
      </c>
      <c r="I22" s="10">
        <f t="shared" si="2"/>
        <v>996.52536483669212</v>
      </c>
    </row>
    <row r="23" spans="1:11" x14ac:dyDescent="0.25">
      <c r="A23" s="8" t="s">
        <v>102</v>
      </c>
      <c r="B23" s="9" t="str">
        <f t="shared" si="0"/>
        <v>SI-157X65_P5567</v>
      </c>
      <c r="C23" s="9" t="s">
        <v>471</v>
      </c>
      <c r="D23" s="9" t="s">
        <v>472</v>
      </c>
      <c r="E23" s="9">
        <v>0.46400000000000002</v>
      </c>
      <c r="F23" s="9">
        <v>5.0000000000000001E-3</v>
      </c>
      <c r="G23" s="9">
        <v>1000</v>
      </c>
      <c r="H23" s="10">
        <f t="shared" si="1"/>
        <v>10.775862068965516</v>
      </c>
      <c r="I23" s="10">
        <f t="shared" si="2"/>
        <v>989.22413793103453</v>
      </c>
      <c r="J23" s="15"/>
      <c r="K23" s="15"/>
    </row>
    <row r="24" spans="1:11" x14ac:dyDescent="0.25">
      <c r="A24" s="8" t="s">
        <v>103</v>
      </c>
      <c r="B24" s="9" t="str">
        <f t="shared" si="0"/>
        <v>SI-157X66_P5568</v>
      </c>
      <c r="C24" s="9" t="s">
        <v>473</v>
      </c>
      <c r="D24" s="9" t="s">
        <v>474</v>
      </c>
      <c r="E24" s="9">
        <v>0.39200000000000002</v>
      </c>
      <c r="F24" s="9">
        <v>5.0000000000000001E-3</v>
      </c>
      <c r="G24" s="9">
        <v>1000</v>
      </c>
      <c r="H24" s="10">
        <f t="shared" si="1"/>
        <v>12.755102040816325</v>
      </c>
      <c r="I24" s="10">
        <f t="shared" si="2"/>
        <v>987.24489795918362</v>
      </c>
      <c r="J24" s="14"/>
      <c r="K24" s="13"/>
    </row>
    <row r="25" spans="1:11" x14ac:dyDescent="0.25">
      <c r="A25" s="8" t="s">
        <v>104</v>
      </c>
      <c r="B25" s="9" t="str">
        <f t="shared" si="0"/>
        <v>SI-157X67_P5569</v>
      </c>
      <c r="C25" s="9" t="s">
        <v>475</v>
      </c>
      <c r="D25" s="9" t="s">
        <v>476</v>
      </c>
      <c r="E25" s="9">
        <v>0.70799999999999996</v>
      </c>
      <c r="F25" s="9">
        <v>5.0000000000000001E-3</v>
      </c>
      <c r="G25" s="9">
        <v>1000</v>
      </c>
      <c r="H25" s="10">
        <f t="shared" si="1"/>
        <v>7.0621468926553677</v>
      </c>
      <c r="I25" s="10">
        <f t="shared" si="2"/>
        <v>992.93785310734461</v>
      </c>
    </row>
    <row r="26" spans="1:11" x14ac:dyDescent="0.25">
      <c r="A26" s="8" t="s">
        <v>105</v>
      </c>
      <c r="B26" s="9" t="str">
        <f t="shared" si="0"/>
        <v>SI-157X68_P5570</v>
      </c>
      <c r="C26" s="9" t="s">
        <v>477</v>
      </c>
      <c r="D26" s="9" t="s">
        <v>478</v>
      </c>
      <c r="E26" s="9">
        <v>0.61099999999999999</v>
      </c>
      <c r="F26" s="9">
        <v>5.0000000000000001E-3</v>
      </c>
      <c r="G26" s="9">
        <v>1000</v>
      </c>
      <c r="H26" s="10">
        <f t="shared" si="1"/>
        <v>8.1833060556464812</v>
      </c>
      <c r="I26" s="10">
        <f t="shared" si="2"/>
        <v>991.81669394435357</v>
      </c>
    </row>
    <row r="27" spans="1:11" x14ac:dyDescent="0.25">
      <c r="A27" s="8"/>
      <c r="B27" s="9"/>
      <c r="C27" s="9"/>
      <c r="D27" s="9"/>
      <c r="E27" s="9"/>
      <c r="F27" s="9"/>
      <c r="G27" s="9"/>
      <c r="H27" s="10"/>
      <c r="I27" s="10"/>
    </row>
    <row r="28" spans="1:11" x14ac:dyDescent="0.25">
      <c r="A28" s="8"/>
      <c r="B28" s="9"/>
      <c r="C28" s="9"/>
      <c r="D28" s="9"/>
      <c r="E28" s="9"/>
      <c r="F28" s="9"/>
      <c r="G28" s="9"/>
      <c r="H28" s="10"/>
      <c r="I28" s="10"/>
    </row>
    <row r="29" spans="1:11" x14ac:dyDescent="0.25">
      <c r="A29" s="8"/>
      <c r="B29" s="9"/>
      <c r="C29" s="9"/>
      <c r="D29" s="9"/>
      <c r="E29" s="9"/>
      <c r="F29" s="9"/>
      <c r="G29" s="9"/>
      <c r="H29" s="10"/>
      <c r="I29" s="10"/>
    </row>
    <row r="30" spans="1:11" x14ac:dyDescent="0.25">
      <c r="A30" s="8"/>
      <c r="B30" s="9"/>
      <c r="C30" s="9"/>
      <c r="D30" s="9"/>
      <c r="E30" s="9"/>
      <c r="F30" s="9"/>
      <c r="G30" s="9"/>
      <c r="H30" s="10"/>
      <c r="I30" s="10"/>
    </row>
    <row r="31" spans="1:11" x14ac:dyDescent="0.25">
      <c r="A31" s="8"/>
      <c r="B31" s="9"/>
      <c r="C31" s="9"/>
      <c r="D31" s="9"/>
      <c r="E31" s="9"/>
      <c r="F31" s="9"/>
      <c r="G31" s="9"/>
      <c r="H31" s="10"/>
      <c r="I31" s="10"/>
    </row>
    <row r="32" spans="1:11" x14ac:dyDescent="0.25">
      <c r="A32" s="8"/>
      <c r="B32" s="9"/>
      <c r="C32" s="9"/>
      <c r="D32" s="9"/>
      <c r="E32" s="9"/>
      <c r="F32" s="9"/>
      <c r="G32" s="9"/>
      <c r="H32" s="10"/>
      <c r="I32" s="10"/>
    </row>
    <row r="33" spans="1:9" x14ac:dyDescent="0.25">
      <c r="A33" s="8"/>
      <c r="B33" s="9"/>
      <c r="C33" s="9"/>
      <c r="D33" s="9"/>
      <c r="E33" s="9"/>
      <c r="F33" s="9"/>
      <c r="G33" s="9"/>
      <c r="H33" s="10"/>
      <c r="I33" s="10"/>
    </row>
    <row r="34" spans="1:9" x14ac:dyDescent="0.25">
      <c r="A34" s="8"/>
      <c r="B34" s="9"/>
      <c r="C34" s="9"/>
      <c r="D34" s="9"/>
      <c r="E34" s="9"/>
      <c r="F34" s="9"/>
      <c r="G34" s="9"/>
      <c r="H34" s="10"/>
      <c r="I34" s="10"/>
    </row>
    <row r="35" spans="1:9" x14ac:dyDescent="0.25">
      <c r="A35" s="8"/>
      <c r="B35" s="9"/>
      <c r="C35" s="9"/>
      <c r="D35" s="9"/>
      <c r="E35" s="9"/>
      <c r="F35" s="9"/>
      <c r="G35" s="9"/>
      <c r="H35" s="10"/>
      <c r="I35" s="10"/>
    </row>
    <row r="36" spans="1:9" x14ac:dyDescent="0.25">
      <c r="A36" s="8"/>
      <c r="B36" s="9"/>
      <c r="C36" s="9"/>
      <c r="D36" s="9"/>
      <c r="E36" s="9"/>
      <c r="F36" s="9"/>
      <c r="G36" s="9"/>
      <c r="H36" s="10"/>
      <c r="I36" s="10"/>
    </row>
    <row r="37" spans="1:9" x14ac:dyDescent="0.25">
      <c r="A37" s="8"/>
      <c r="B37" s="9"/>
      <c r="C37" s="9"/>
      <c r="D37" s="9"/>
      <c r="E37" s="9"/>
      <c r="F37" s="9"/>
      <c r="G37" s="9"/>
      <c r="H37" s="10"/>
      <c r="I37" s="10"/>
    </row>
    <row r="38" spans="1:9" x14ac:dyDescent="0.25">
      <c r="A38" s="8"/>
      <c r="B38" s="9"/>
      <c r="C38" s="9"/>
      <c r="D38" s="9"/>
      <c r="E38" s="9"/>
      <c r="F38" s="9"/>
      <c r="G38" s="9"/>
      <c r="H38" s="10"/>
      <c r="I38" s="10"/>
    </row>
  </sheetData>
  <sortState xmlns:xlrd2="http://schemas.microsoft.com/office/spreadsheetml/2017/richdata2" ref="A3:I26">
    <sortCondition ref="D2:D26"/>
  </sortState>
  <mergeCells count="1">
    <mergeCell ref="A1:C1"/>
  </mergeCells>
  <phoneticPr fontId="2" type="noConversion"/>
  <pageMargins left="0.7" right="0.7" top="0.75" bottom="0.75" header="0.3" footer="0.3"/>
  <pageSetup scale="8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1FA3-9107-400B-88DF-1E1E570A01A2}">
  <dimension ref="A1:K5"/>
  <sheetViews>
    <sheetView workbookViewId="0">
      <selection sqref="A1:K3"/>
    </sheetView>
  </sheetViews>
  <sheetFormatPr defaultColWidth="9.140625" defaultRowHeight="15" x14ac:dyDescent="0.25"/>
  <cols>
    <col min="1" max="1" width="26.7109375" style="7" bestFit="1" customWidth="1"/>
    <col min="2" max="2" width="11.7109375" style="7" bestFit="1" customWidth="1"/>
    <col min="3" max="3" width="16.7109375" style="7" bestFit="1" customWidth="1"/>
    <col min="4" max="4" width="15.7109375" style="7" bestFit="1" customWidth="1"/>
    <col min="5" max="5" width="8" style="7" bestFit="1" customWidth="1"/>
    <col min="6" max="6" width="18.7109375" style="7" bestFit="1" customWidth="1"/>
    <col min="7" max="7" width="15.42578125" style="7" bestFit="1" customWidth="1"/>
    <col min="8" max="8" width="13.28515625" style="7" bestFit="1" customWidth="1"/>
    <col min="9" max="9" width="15.5703125" style="7" bestFit="1" customWidth="1"/>
    <col min="10" max="10" width="16" style="7" bestFit="1" customWidth="1"/>
    <col min="11" max="11" width="14.5703125" style="7" bestFit="1" customWidth="1"/>
    <col min="12" max="16384" width="9.140625" style="7"/>
  </cols>
  <sheetData>
    <row r="1" spans="1:11" x14ac:dyDescent="0.25">
      <c r="A1" s="11" t="s">
        <v>421</v>
      </c>
      <c r="B1" s="11"/>
      <c r="E1" s="9"/>
      <c r="F1" s="9"/>
      <c r="G1" s="9"/>
      <c r="H1" s="9"/>
      <c r="I1" s="9"/>
    </row>
    <row r="2" spans="1:11" ht="15.75" x14ac:dyDescent="0.25">
      <c r="A2" s="8" t="s">
        <v>430</v>
      </c>
      <c r="B2" s="8" t="s">
        <v>422</v>
      </c>
      <c r="C2" s="8" t="s">
        <v>423</v>
      </c>
      <c r="D2" s="8" t="s">
        <v>424</v>
      </c>
      <c r="E2" s="8" t="s">
        <v>425</v>
      </c>
      <c r="F2" s="8" t="s">
        <v>426</v>
      </c>
      <c r="G2" s="8" t="s">
        <v>427</v>
      </c>
      <c r="H2" s="8" t="s">
        <v>418</v>
      </c>
      <c r="I2" s="8" t="s">
        <v>428</v>
      </c>
      <c r="J2" s="8" t="s">
        <v>429</v>
      </c>
      <c r="K2" s="8" t="s">
        <v>420</v>
      </c>
    </row>
    <row r="3" spans="1:11" x14ac:dyDescent="0.25">
      <c r="A3" s="9" t="str">
        <f>B3&amp;"_"&amp;C3&amp;D3</f>
        <v>hsCD3d/e_Acro_CDD-H52W1</v>
      </c>
      <c r="B3" s="16" t="s">
        <v>499</v>
      </c>
      <c r="C3" s="16" t="s">
        <v>500</v>
      </c>
      <c r="D3" s="9"/>
      <c r="E3" s="16">
        <v>30000</v>
      </c>
      <c r="F3" s="16">
        <v>0.6</v>
      </c>
      <c r="G3" s="10">
        <f>($F3/$E3)*(1000000)</f>
        <v>20</v>
      </c>
      <c r="H3" s="9">
        <v>500</v>
      </c>
      <c r="I3" s="9">
        <v>0.2</v>
      </c>
      <c r="J3" s="12">
        <f>($H3*$I3)/$G3</f>
        <v>5</v>
      </c>
      <c r="K3" s="10">
        <f>$H3-$J3</f>
        <v>495</v>
      </c>
    </row>
    <row r="5" spans="1:11" x14ac:dyDescent="0.25">
      <c r="A5" t="s">
        <v>501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5C5D-A0EC-448F-A32A-F3E9DCADB810}">
  <sheetPr>
    <pageSetUpPr fitToPage="1"/>
  </sheetPr>
  <dimension ref="A1:K30"/>
  <sheetViews>
    <sheetView workbookViewId="0">
      <selection activeCell="A3" sqref="A3:A14"/>
    </sheetView>
  </sheetViews>
  <sheetFormatPr defaultColWidth="9.140625" defaultRowHeight="15" x14ac:dyDescent="0.25"/>
  <cols>
    <col min="1" max="2" width="9.140625" style="7"/>
    <col min="3" max="3" width="12.140625" style="7" bestFit="1" customWidth="1"/>
    <col min="4" max="16384" width="9.140625" style="7"/>
  </cols>
  <sheetData>
    <row r="1" spans="1:9" x14ac:dyDescent="0.25">
      <c r="A1" s="7" t="s">
        <v>413</v>
      </c>
    </row>
    <row r="2" spans="1:9" x14ac:dyDescent="0.25">
      <c r="A2" s="7" t="s">
        <v>450</v>
      </c>
      <c r="B2" s="7" t="s">
        <v>536</v>
      </c>
      <c r="C2" s="7" t="s">
        <v>414</v>
      </c>
      <c r="D2" s="7" t="s">
        <v>415</v>
      </c>
      <c r="E2" s="7" t="s">
        <v>416</v>
      </c>
      <c r="F2" s="7" t="s">
        <v>417</v>
      </c>
      <c r="G2" s="7" t="s">
        <v>418</v>
      </c>
      <c r="H2" s="7" t="s">
        <v>419</v>
      </c>
      <c r="I2" s="7" t="s">
        <v>420</v>
      </c>
    </row>
    <row r="3" spans="1:9" x14ac:dyDescent="0.25">
      <c r="A3" s="7" t="s">
        <v>94</v>
      </c>
      <c r="B3" s="7" t="s">
        <v>502</v>
      </c>
      <c r="C3" s="7" t="s">
        <v>480</v>
      </c>
      <c r="D3" s="7" t="s">
        <v>481</v>
      </c>
      <c r="E3" s="7">
        <v>4.3540000000000001</v>
      </c>
      <c r="F3" s="7">
        <v>5.0000000000000001E-3</v>
      </c>
      <c r="G3" s="7">
        <v>1000</v>
      </c>
      <c r="H3" s="7">
        <v>1.1483693155718879</v>
      </c>
      <c r="I3" s="7">
        <v>998.85163068442807</v>
      </c>
    </row>
    <row r="4" spans="1:9" x14ac:dyDescent="0.25">
      <c r="A4" s="7" t="s">
        <v>95</v>
      </c>
      <c r="B4" s="7" t="s">
        <v>503</v>
      </c>
      <c r="C4" s="7" t="s">
        <v>482</v>
      </c>
      <c r="D4" s="7" t="s">
        <v>483</v>
      </c>
      <c r="E4" s="7">
        <v>5.5049999999999999</v>
      </c>
      <c r="F4" s="7">
        <v>5.0000000000000001E-3</v>
      </c>
      <c r="G4" s="7">
        <v>1000</v>
      </c>
      <c r="H4" s="7">
        <v>0.90826521344232514</v>
      </c>
      <c r="I4" s="7">
        <v>999.09173478655771</v>
      </c>
    </row>
    <row r="5" spans="1:9" x14ac:dyDescent="0.25">
      <c r="A5" s="7" t="s">
        <v>96</v>
      </c>
      <c r="B5" s="7" t="s">
        <v>504</v>
      </c>
      <c r="C5" s="7" t="s">
        <v>484</v>
      </c>
      <c r="D5" s="7" t="s">
        <v>485</v>
      </c>
      <c r="E5" s="7">
        <v>13.827</v>
      </c>
      <c r="F5" s="7">
        <v>5.0000000000000001E-3</v>
      </c>
      <c r="G5" s="7">
        <v>1000</v>
      </c>
      <c r="H5" s="7">
        <v>0.36161134013162655</v>
      </c>
      <c r="I5" s="7">
        <v>999.63838865986838</v>
      </c>
    </row>
    <row r="6" spans="1:9" x14ac:dyDescent="0.25">
      <c r="A6" s="7" t="s">
        <v>97</v>
      </c>
      <c r="B6" s="7" t="s">
        <v>505</v>
      </c>
      <c r="C6" s="7" t="s">
        <v>486</v>
      </c>
      <c r="D6" s="7" t="s">
        <v>487</v>
      </c>
      <c r="E6" s="7">
        <v>13.223000000000001</v>
      </c>
      <c r="F6" s="7">
        <v>5.0000000000000001E-3</v>
      </c>
      <c r="G6" s="7">
        <v>1000</v>
      </c>
      <c r="H6" s="7">
        <v>0.37812901762081219</v>
      </c>
      <c r="I6" s="7">
        <v>999.62187098237916</v>
      </c>
    </row>
    <row r="7" spans="1:9" x14ac:dyDescent="0.25">
      <c r="A7" s="7" t="s">
        <v>98</v>
      </c>
      <c r="B7" s="7" t="s">
        <v>506</v>
      </c>
      <c r="C7" s="7" t="s">
        <v>488</v>
      </c>
      <c r="D7" s="7" t="s">
        <v>489</v>
      </c>
      <c r="E7" s="7">
        <v>10.452</v>
      </c>
      <c r="F7" s="7">
        <v>5.0000000000000001E-3</v>
      </c>
      <c r="G7" s="7">
        <v>1000</v>
      </c>
      <c r="H7" s="7">
        <v>0.47837734404898585</v>
      </c>
      <c r="I7" s="7">
        <v>999.52162265595098</v>
      </c>
    </row>
    <row r="8" spans="1:9" x14ac:dyDescent="0.25">
      <c r="A8" s="7" t="s">
        <v>99</v>
      </c>
      <c r="B8" s="7" t="s">
        <v>507</v>
      </c>
      <c r="C8" s="7" t="s">
        <v>490</v>
      </c>
      <c r="D8" s="7" t="s">
        <v>491</v>
      </c>
      <c r="E8" s="7">
        <v>12.61</v>
      </c>
      <c r="F8" s="7">
        <v>5.0000000000000001E-3</v>
      </c>
      <c r="G8" s="7">
        <v>1000</v>
      </c>
      <c r="H8" s="7">
        <v>0.39651070578905634</v>
      </c>
      <c r="I8" s="7">
        <v>999.60348929421093</v>
      </c>
    </row>
    <row r="9" spans="1:9" x14ac:dyDescent="0.25">
      <c r="A9" s="7" t="s">
        <v>100</v>
      </c>
      <c r="B9" s="7" t="s">
        <v>508</v>
      </c>
      <c r="C9" s="7" t="s">
        <v>492</v>
      </c>
      <c r="D9" s="7" t="s">
        <v>493</v>
      </c>
      <c r="E9" s="7">
        <v>14.194000000000001</v>
      </c>
      <c r="F9" s="7">
        <v>5.0000000000000001E-3</v>
      </c>
      <c r="G9" s="7">
        <v>1000</v>
      </c>
      <c r="H9" s="7">
        <v>0.35226151895166968</v>
      </c>
      <c r="I9" s="7">
        <v>999.64773848104835</v>
      </c>
    </row>
    <row r="10" spans="1:9" x14ac:dyDescent="0.25">
      <c r="A10" s="7" t="s">
        <v>101</v>
      </c>
      <c r="B10" s="7" t="s">
        <v>509</v>
      </c>
      <c r="C10" s="7" t="s">
        <v>494</v>
      </c>
      <c r="D10" s="7" t="s">
        <v>495</v>
      </c>
      <c r="E10" s="7">
        <v>11.85</v>
      </c>
      <c r="F10" s="7">
        <v>5.0000000000000001E-3</v>
      </c>
      <c r="G10" s="7">
        <v>1000</v>
      </c>
      <c r="H10" s="7">
        <v>0.4219409282700422</v>
      </c>
      <c r="I10" s="7">
        <v>999.57805907172997</v>
      </c>
    </row>
    <row r="11" spans="1:9" x14ac:dyDescent="0.25">
      <c r="A11" s="7" t="s">
        <v>102</v>
      </c>
      <c r="B11" s="7" t="s">
        <v>510</v>
      </c>
      <c r="C11" s="7" t="s">
        <v>479</v>
      </c>
      <c r="D11" s="7" t="s">
        <v>498</v>
      </c>
      <c r="E11" s="7">
        <v>8.35</v>
      </c>
      <c r="F11" s="7">
        <v>5.0000000000000001E-3</v>
      </c>
      <c r="G11" s="7">
        <v>1000</v>
      </c>
      <c r="H11" s="7">
        <v>0.5988023952095809</v>
      </c>
      <c r="I11" s="7">
        <v>999.40119760479047</v>
      </c>
    </row>
    <row r="12" spans="1:9" x14ac:dyDescent="0.25">
      <c r="A12" s="7" t="s">
        <v>103</v>
      </c>
      <c r="B12" s="7" t="s">
        <v>511</v>
      </c>
      <c r="C12" s="7" t="s">
        <v>496</v>
      </c>
      <c r="D12" s="7" t="s">
        <v>497</v>
      </c>
      <c r="E12" s="7">
        <v>5.85</v>
      </c>
      <c r="F12" s="7">
        <v>5.0000000000000001E-3</v>
      </c>
      <c r="G12" s="7">
        <v>1000</v>
      </c>
      <c r="H12" s="7">
        <v>0.85470085470085477</v>
      </c>
      <c r="I12" s="7">
        <v>999.14529914529919</v>
      </c>
    </row>
    <row r="13" spans="1:9" x14ac:dyDescent="0.25">
      <c r="A13" s="7" t="s">
        <v>104</v>
      </c>
      <c r="B13" s="7" t="s">
        <v>512</v>
      </c>
      <c r="C13" s="7" t="s">
        <v>451</v>
      </c>
      <c r="D13" s="7" t="s">
        <v>452</v>
      </c>
      <c r="E13" s="7">
        <v>3.972</v>
      </c>
      <c r="F13" s="7">
        <v>5.0000000000000001E-3</v>
      </c>
      <c r="G13" s="7">
        <v>1000</v>
      </c>
      <c r="H13" s="7">
        <v>1.2588116817724069</v>
      </c>
      <c r="I13" s="7">
        <v>998.74118831822761</v>
      </c>
    </row>
    <row r="14" spans="1:9" x14ac:dyDescent="0.25">
      <c r="A14" s="7" t="s">
        <v>105</v>
      </c>
      <c r="B14" s="7" t="s">
        <v>513</v>
      </c>
      <c r="C14" s="7" t="s">
        <v>453</v>
      </c>
      <c r="D14" s="7" t="s">
        <v>454</v>
      </c>
      <c r="E14" s="7">
        <v>4.4080000000000004</v>
      </c>
      <c r="F14" s="7">
        <v>5.0000000000000001E-3</v>
      </c>
      <c r="G14" s="7">
        <v>1000</v>
      </c>
      <c r="H14" s="7">
        <v>1.1343012704174227</v>
      </c>
      <c r="I14" s="7">
        <v>998.86569872958262</v>
      </c>
    </row>
    <row r="15" spans="1:9" x14ac:dyDescent="0.25">
      <c r="A15" s="7" t="s">
        <v>118</v>
      </c>
      <c r="B15" s="7" t="s">
        <v>514</v>
      </c>
      <c r="C15" s="7" t="s">
        <v>455</v>
      </c>
      <c r="D15" s="7" t="s">
        <v>456</v>
      </c>
      <c r="E15" s="7">
        <v>1.3979999999999999</v>
      </c>
      <c r="F15" s="7">
        <v>5.0000000000000001E-3</v>
      </c>
      <c r="G15" s="7">
        <v>1000</v>
      </c>
      <c r="H15" s="7">
        <v>3.5765379113018598</v>
      </c>
      <c r="I15" s="7">
        <v>996.4234620886981</v>
      </c>
    </row>
    <row r="16" spans="1:9" x14ac:dyDescent="0.25">
      <c r="A16" s="7" t="s">
        <v>119</v>
      </c>
      <c r="B16" s="7" t="s">
        <v>515</v>
      </c>
      <c r="C16" s="7" t="s">
        <v>457</v>
      </c>
      <c r="D16" s="7" t="s">
        <v>458</v>
      </c>
      <c r="E16" s="7">
        <v>1.829</v>
      </c>
      <c r="F16" s="7">
        <v>5.0000000000000001E-3</v>
      </c>
      <c r="G16" s="7">
        <v>1000</v>
      </c>
      <c r="H16" s="7">
        <v>2.7337342810278842</v>
      </c>
      <c r="I16" s="7">
        <v>997.26626571897214</v>
      </c>
    </row>
    <row r="17" spans="1:11" x14ac:dyDescent="0.25">
      <c r="A17" s="7" t="s">
        <v>120</v>
      </c>
      <c r="B17" s="7" t="s">
        <v>516</v>
      </c>
      <c r="C17" s="7" t="s">
        <v>459</v>
      </c>
      <c r="D17" s="7" t="s">
        <v>460</v>
      </c>
      <c r="E17" s="7">
        <v>2.343</v>
      </c>
      <c r="F17" s="7">
        <v>5.0000000000000001E-3</v>
      </c>
      <c r="G17" s="7">
        <v>1000</v>
      </c>
      <c r="H17" s="7">
        <v>2.1340162185232607</v>
      </c>
      <c r="I17" s="7">
        <v>997.86598378147676</v>
      </c>
    </row>
    <row r="18" spans="1:11" x14ac:dyDescent="0.25">
      <c r="A18" s="7" t="s">
        <v>121</v>
      </c>
      <c r="B18" s="7" t="s">
        <v>517</v>
      </c>
      <c r="C18" s="7" t="s">
        <v>461</v>
      </c>
      <c r="D18" s="7" t="s">
        <v>462</v>
      </c>
      <c r="E18" s="7">
        <v>1.72</v>
      </c>
      <c r="F18" s="7">
        <v>5.0000000000000001E-3</v>
      </c>
      <c r="G18" s="7">
        <v>1000</v>
      </c>
      <c r="H18" s="7">
        <v>2.9069767441860463</v>
      </c>
      <c r="I18" s="7">
        <v>997.09302325581393</v>
      </c>
    </row>
    <row r="19" spans="1:11" x14ac:dyDescent="0.25">
      <c r="A19" s="7" t="s">
        <v>122</v>
      </c>
      <c r="B19" s="7" t="s">
        <v>518</v>
      </c>
      <c r="C19" s="7" t="s">
        <v>463</v>
      </c>
      <c r="D19" s="7" t="s">
        <v>464</v>
      </c>
      <c r="E19" s="7">
        <v>2.9009999999999998</v>
      </c>
      <c r="F19" s="7">
        <v>5.0000000000000001E-3</v>
      </c>
      <c r="G19" s="7">
        <v>1000</v>
      </c>
      <c r="H19" s="7">
        <v>1.7235436056532232</v>
      </c>
      <c r="I19" s="7">
        <v>998.27645639434672</v>
      </c>
    </row>
    <row r="20" spans="1:11" x14ac:dyDescent="0.25">
      <c r="A20" s="7" t="s">
        <v>123</v>
      </c>
      <c r="B20" s="7" t="s">
        <v>519</v>
      </c>
      <c r="C20" s="7" t="s">
        <v>465</v>
      </c>
      <c r="D20" s="7" t="s">
        <v>466</v>
      </c>
      <c r="E20" s="7">
        <v>2.5790000000000002</v>
      </c>
      <c r="F20" s="7">
        <v>5.0000000000000001E-3</v>
      </c>
      <c r="G20" s="7">
        <v>1000</v>
      </c>
      <c r="H20" s="7">
        <v>1.9387359441644048</v>
      </c>
      <c r="I20" s="7">
        <v>998.06126405583564</v>
      </c>
    </row>
    <row r="21" spans="1:11" x14ac:dyDescent="0.25">
      <c r="A21" s="7" t="s">
        <v>124</v>
      </c>
      <c r="B21" s="7" t="s">
        <v>520</v>
      </c>
      <c r="C21" s="7" t="s">
        <v>467</v>
      </c>
      <c r="D21" s="7" t="s">
        <v>468</v>
      </c>
      <c r="E21" s="7">
        <v>0.94699999999999995</v>
      </c>
      <c r="F21" s="7">
        <v>5.0000000000000001E-3</v>
      </c>
      <c r="G21" s="7">
        <v>1000</v>
      </c>
      <c r="H21" s="7">
        <v>5.2798310454065476</v>
      </c>
      <c r="I21" s="7">
        <v>994.72016895459342</v>
      </c>
    </row>
    <row r="22" spans="1:11" x14ac:dyDescent="0.25">
      <c r="A22" s="7" t="s">
        <v>125</v>
      </c>
      <c r="B22" s="7" t="s">
        <v>521</v>
      </c>
      <c r="C22" s="7" t="s">
        <v>469</v>
      </c>
      <c r="D22" s="7" t="s">
        <v>470</v>
      </c>
      <c r="E22" s="7">
        <v>1.4390000000000001</v>
      </c>
      <c r="F22" s="7">
        <v>5.0000000000000001E-3</v>
      </c>
      <c r="G22" s="7">
        <v>1000</v>
      </c>
      <c r="H22" s="7">
        <v>3.4746351633078527</v>
      </c>
      <c r="I22" s="7">
        <v>996.52536483669212</v>
      </c>
    </row>
    <row r="23" spans="1:11" x14ac:dyDescent="0.25">
      <c r="A23" s="7" t="s">
        <v>126</v>
      </c>
      <c r="B23" s="7" t="s">
        <v>522</v>
      </c>
      <c r="C23" s="7" t="s">
        <v>471</v>
      </c>
      <c r="D23" s="7" t="s">
        <v>472</v>
      </c>
      <c r="E23" s="7">
        <v>0.46400000000000002</v>
      </c>
      <c r="F23" s="7">
        <v>5.0000000000000001E-3</v>
      </c>
      <c r="G23" s="7">
        <v>1000</v>
      </c>
      <c r="H23" s="7">
        <v>10.775862068965516</v>
      </c>
      <c r="I23" s="7">
        <v>989.22413793103453</v>
      </c>
    </row>
    <row r="24" spans="1:11" x14ac:dyDescent="0.25">
      <c r="A24" s="7" t="s">
        <v>127</v>
      </c>
      <c r="B24" s="7" t="s">
        <v>523</v>
      </c>
      <c r="C24" s="7" t="s">
        <v>473</v>
      </c>
      <c r="D24" s="7" t="s">
        <v>474</v>
      </c>
      <c r="E24" s="7">
        <v>0.39200000000000002</v>
      </c>
      <c r="F24" s="7">
        <v>5.0000000000000001E-3</v>
      </c>
      <c r="G24" s="7">
        <v>1000</v>
      </c>
      <c r="H24" s="7">
        <v>12.755102040816325</v>
      </c>
      <c r="I24" s="7">
        <v>987.24489795918362</v>
      </c>
    </row>
    <row r="25" spans="1:11" x14ac:dyDescent="0.25">
      <c r="A25" s="7" t="s">
        <v>128</v>
      </c>
      <c r="B25" s="7" t="s">
        <v>524</v>
      </c>
      <c r="C25" s="7" t="s">
        <v>475</v>
      </c>
      <c r="D25" s="7" t="s">
        <v>476</v>
      </c>
      <c r="E25" s="7">
        <v>0.70799999999999996</v>
      </c>
      <c r="F25" s="7">
        <v>5.0000000000000001E-3</v>
      </c>
      <c r="G25" s="7">
        <v>1000</v>
      </c>
      <c r="H25" s="7">
        <v>7.0621468926553677</v>
      </c>
      <c r="I25" s="7">
        <v>992.93785310734461</v>
      </c>
    </row>
    <row r="26" spans="1:11" x14ac:dyDescent="0.25">
      <c r="A26" s="7" t="s">
        <v>129</v>
      </c>
      <c r="B26" s="7" t="s">
        <v>525</v>
      </c>
      <c r="C26" s="7" t="s">
        <v>477</v>
      </c>
      <c r="D26" s="7" t="s">
        <v>478</v>
      </c>
      <c r="E26" s="7">
        <v>0.61099999999999999</v>
      </c>
      <c r="F26" s="7">
        <v>5.0000000000000001E-3</v>
      </c>
      <c r="G26" s="7">
        <v>1000</v>
      </c>
      <c r="H26" s="7">
        <v>8.1833060556464812</v>
      </c>
      <c r="I26" s="7">
        <v>991.81669394435357</v>
      </c>
    </row>
    <row r="28" spans="1:11" x14ac:dyDescent="0.25">
      <c r="A28" s="7" t="s">
        <v>421</v>
      </c>
    </row>
    <row r="29" spans="1:11" x14ac:dyDescent="0.25">
      <c r="A29" s="7" t="s">
        <v>536</v>
      </c>
      <c r="B29" s="7" t="s">
        <v>422</v>
      </c>
      <c r="C29" s="7" t="s">
        <v>423</v>
      </c>
      <c r="D29" s="7" t="s">
        <v>424</v>
      </c>
      <c r="E29" s="7" t="s">
        <v>425</v>
      </c>
      <c r="F29" s="7" t="s">
        <v>426</v>
      </c>
      <c r="G29" s="7" t="s">
        <v>427</v>
      </c>
      <c r="H29" s="7" t="s">
        <v>418</v>
      </c>
      <c r="I29" s="7" t="s">
        <v>428</v>
      </c>
      <c r="J29" s="7" t="s">
        <v>429</v>
      </c>
      <c r="K29" s="7" t="s">
        <v>420</v>
      </c>
    </row>
    <row r="30" spans="1:11" x14ac:dyDescent="0.25">
      <c r="A30" s="7" t="s">
        <v>527</v>
      </c>
      <c r="B30" s="7" t="s">
        <v>499</v>
      </c>
      <c r="C30" s="7" t="s">
        <v>500</v>
      </c>
      <c r="E30" s="7">
        <v>30000</v>
      </c>
      <c r="F30" s="7">
        <v>0.6</v>
      </c>
      <c r="G30" s="7">
        <v>20</v>
      </c>
      <c r="H30" s="7">
        <v>500</v>
      </c>
      <c r="I30" s="7">
        <v>0.2</v>
      </c>
      <c r="J30" s="7">
        <v>5</v>
      </c>
      <c r="K30" s="7">
        <v>495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6c1808-afc1-47c2-a781-30c46b428f79" xsi:nil="true"/>
    <lcf76f155ced4ddcb4097134ff3c332f xmlns="a673d202-4d03-4e20-9bfe-52e96bb8c63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6D5FCBF8CDDB4494E32C1EEB6EC4C1" ma:contentTypeVersion="18" ma:contentTypeDescription="Create a new document." ma:contentTypeScope="" ma:versionID="7fa5df92e39623c53540ca0d42e9ea0e">
  <xsd:schema xmlns:xsd="http://www.w3.org/2001/XMLSchema" xmlns:xs="http://www.w3.org/2001/XMLSchema" xmlns:p="http://schemas.microsoft.com/office/2006/metadata/properties" xmlns:ns2="a673d202-4d03-4e20-9bfe-52e96bb8c63b" xmlns:ns3="a16c1808-afc1-47c2-a781-30c46b428f79" targetNamespace="http://schemas.microsoft.com/office/2006/metadata/properties" ma:root="true" ma:fieldsID="cd63bca151320745ab19be13a4897a85" ns2:_="" ns3:_="">
    <xsd:import namespace="a673d202-4d03-4e20-9bfe-52e96bb8c63b"/>
    <xsd:import namespace="a16c1808-afc1-47c2-a781-30c46b428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3d202-4d03-4e20-9bfe-52e96bb8c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138e8a7-a63a-4c57-a626-6b25e60d9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6c1808-afc1-47c2-a781-30c46b428f7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2b9567e-ba6a-4166-8b7a-fdef3c39668f}" ma:internalName="TaxCatchAll" ma:showField="CatchAllData" ma:web="a16c1808-afc1-47c2-a781-30c46b428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BA69BA-4487-4D4A-BED8-8842E0C12E09}">
  <ds:schemaRefs>
    <ds:schemaRef ds:uri="http://schemas.microsoft.com/office/2006/metadata/properties"/>
    <ds:schemaRef ds:uri="http://schemas.microsoft.com/office/infopath/2007/PartnerControls"/>
    <ds:schemaRef ds:uri="a16c1808-afc1-47c2-a781-30c46b428f79"/>
    <ds:schemaRef ds:uri="a673d202-4d03-4e20-9bfe-52e96bb8c63b"/>
  </ds:schemaRefs>
</ds:datastoreItem>
</file>

<file path=customXml/itemProps2.xml><?xml version="1.0" encoding="utf-8"?>
<ds:datastoreItem xmlns:ds="http://schemas.openxmlformats.org/officeDocument/2006/customXml" ds:itemID="{61DDF489-A8BF-40EE-8051-8CABBFAAB2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765919-ED8D-4BC7-BB6A-18BA1EEDF2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3d202-4d03-4e20-9bfe-52e96bb8c63b"/>
    <ds:schemaRef ds:uri="a16c1808-afc1-47c2-a781-30c46b428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ExpInfo</vt:lpstr>
      <vt:lpstr>SamplePlate1</vt:lpstr>
      <vt:lpstr>Sample Plate 1 Visual</vt:lpstr>
      <vt:lpstr>SamplePlate2</vt:lpstr>
      <vt:lpstr>AssaySteps</vt:lpstr>
      <vt:lpstr>Loaded Proteins</vt:lpstr>
      <vt:lpstr>Sample Proteins</vt:lpstr>
      <vt:lpstr>To 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Helgeson</dc:creator>
  <cp:lastModifiedBy>Luke Helgeson</cp:lastModifiedBy>
  <cp:lastPrinted>2025-10-13T18:20:24Z</cp:lastPrinted>
  <dcterms:created xsi:type="dcterms:W3CDTF">2025-08-01T17:16:39Z</dcterms:created>
  <dcterms:modified xsi:type="dcterms:W3CDTF">2025-10-13T18:57:33Z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0x010100BD6D5FCBF8CDDB4494E32C1EEB6EC4C1</vt:lpwstr>
  </property>
  <property fmtid="{D5CDD505-2E9C-101B-9397-08002B2CF9AE}" pid="3" name="MediaServiceImageTags">
    <vt:lpwstr/>
  </property>
</Properties>
</file>