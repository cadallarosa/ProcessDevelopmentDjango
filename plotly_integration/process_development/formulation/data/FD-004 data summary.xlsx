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ystimmuneinc-my.sharepoint.com/personal/molly_grun_systimmune_com/Documents/Microsoft Teams Chat Files/"/>
    </mc:Choice>
  </mc:AlternateContent>
  <xr:revisionPtr revIDLastSave="929" documentId="8_{CC393C16-04C5-4EA9-8E16-ADA6B1FAABA8}" xr6:coauthVersionLast="47" xr6:coauthVersionMax="47" xr10:uidLastSave="{CDD23E9A-0D90-4185-85B1-689BF3E4D63A}"/>
  <bookViews>
    <workbookView xWindow="28680" yWindow="-120" windowWidth="29040" windowHeight="15720" xr2:uid="{2B112C99-CC30-41D7-AB47-0E617198BCE7}"/>
  </bookViews>
  <sheets>
    <sheet name="Sheet1" sheetId="1" r:id="rId1"/>
    <sheet name="Sheet2" sheetId="2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1" i="1" l="1"/>
  <c r="M202" i="1"/>
  <c r="M203" i="1"/>
  <c r="M204" i="1"/>
  <c r="M153" i="1"/>
  <c r="M154" i="1"/>
  <c r="M155" i="1"/>
  <c r="M156" i="1"/>
  <c r="M157" i="1"/>
  <c r="M158" i="1"/>
  <c r="M159" i="1"/>
  <c r="M160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198" i="1"/>
  <c r="M199" i="1"/>
  <c r="M200" i="1"/>
  <c r="M19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37" i="1"/>
  <c r="M44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30" i="1"/>
</calcChain>
</file>

<file path=xl/sharedStrings.xml><?xml version="1.0" encoding="utf-8"?>
<sst xmlns="http://schemas.openxmlformats.org/spreadsheetml/2006/main" count="594" uniqueCount="215">
  <si>
    <t>Sample ID</t>
  </si>
  <si>
    <t>Concentration (mg/mL)</t>
  </si>
  <si>
    <t>FD-004-001</t>
  </si>
  <si>
    <t>FD-004-002</t>
  </si>
  <si>
    <t>FD-004-003</t>
  </si>
  <si>
    <t>FD-004-004</t>
  </si>
  <si>
    <t>FD-004-005</t>
  </si>
  <si>
    <t>FD-004-006</t>
  </si>
  <si>
    <t>FD-004-007</t>
  </si>
  <si>
    <t>FD-004-008</t>
  </si>
  <si>
    <t>FD-004-009</t>
  </si>
  <si>
    <t>FD-004-010</t>
  </si>
  <si>
    <t>FD-004-011</t>
  </si>
  <si>
    <t>FD-004-012</t>
  </si>
  <si>
    <t>FD-004-013</t>
  </si>
  <si>
    <t>FD-004-014</t>
  </si>
  <si>
    <t>FD-004-015</t>
  </si>
  <si>
    <t>FD-004-016</t>
  </si>
  <si>
    <t>FD-004-017</t>
  </si>
  <si>
    <t>FD-004-018</t>
  </si>
  <si>
    <t>FD-004-019</t>
  </si>
  <si>
    <t>FD-004-020</t>
  </si>
  <si>
    <t>FD-004-021</t>
  </si>
  <si>
    <t>FD-004-022</t>
  </si>
  <si>
    <t>FD-004-023</t>
  </si>
  <si>
    <t>FD-004-024</t>
  </si>
  <si>
    <t>FD-004-025</t>
  </si>
  <si>
    <t>FD-004-026</t>
  </si>
  <si>
    <t>FD-004-027</t>
  </si>
  <si>
    <t>FD-004-028</t>
  </si>
  <si>
    <t>FD-004-029</t>
  </si>
  <si>
    <t>FD-004-030</t>
  </si>
  <si>
    <t>FD-004-031</t>
  </si>
  <si>
    <t>FD-004-032</t>
  </si>
  <si>
    <t>FD-004-033</t>
  </si>
  <si>
    <t>FD-004-034</t>
  </si>
  <si>
    <t>FD-004-035</t>
  </si>
  <si>
    <t>FD-004-036</t>
  </si>
  <si>
    <t>FD-004-037</t>
  </si>
  <si>
    <t>FD-004-038</t>
  </si>
  <si>
    <t>FD-004-039</t>
  </si>
  <si>
    <t>FD-004-040</t>
  </si>
  <si>
    <t>FD-004-041</t>
  </si>
  <si>
    <t>FD-004-042</t>
  </si>
  <si>
    <t>FD-004-043</t>
  </si>
  <si>
    <t>FD-004-044</t>
  </si>
  <si>
    <t>FD-004-045</t>
  </si>
  <si>
    <t>FD-004-046</t>
  </si>
  <si>
    <t>FD-004-047</t>
  </si>
  <si>
    <t>FD-004-048</t>
  </si>
  <si>
    <t>FD-004-049</t>
  </si>
  <si>
    <t>FD-004-050</t>
  </si>
  <si>
    <t>FD-004-051</t>
  </si>
  <si>
    <t>FD-004-052</t>
  </si>
  <si>
    <t>FD-004-053</t>
  </si>
  <si>
    <t>FD-004-054</t>
  </si>
  <si>
    <t>FD-004-055</t>
  </si>
  <si>
    <t>FD-004-056</t>
  </si>
  <si>
    <t>FD-004-057</t>
  </si>
  <si>
    <t>FD-004-058</t>
  </si>
  <si>
    <t>FD-004-059</t>
  </si>
  <si>
    <t>FD-004-060</t>
  </si>
  <si>
    <t>FD-004-061</t>
  </si>
  <si>
    <t>FD-004-062</t>
  </si>
  <si>
    <t>FD-004-063</t>
  </si>
  <si>
    <t>FD-004-064</t>
  </si>
  <si>
    <t>FD-004-065</t>
  </si>
  <si>
    <t>FD-004-066</t>
  </si>
  <si>
    <t>FD-004-067</t>
  </si>
  <si>
    <t>FD-004-068</t>
  </si>
  <si>
    <t>FD-004-069</t>
  </si>
  <si>
    <t>FD-004-070</t>
  </si>
  <si>
    <t>Appearance</t>
  </si>
  <si>
    <t>pH</t>
  </si>
  <si>
    <t>HMW</t>
  </si>
  <si>
    <t>Main</t>
  </si>
  <si>
    <t>LMW</t>
  </si>
  <si>
    <t>Tm</t>
  </si>
  <si>
    <t>Histidine (mM)</t>
  </si>
  <si>
    <t>Arginine HCl (mg/mL)</t>
  </si>
  <si>
    <t>Sucrose (mg/mL)</t>
  </si>
  <si>
    <t>Sorbitol (mg/mL)</t>
  </si>
  <si>
    <t>Trehalose (mg/mL)</t>
  </si>
  <si>
    <t>PS80 (mg/mL)</t>
  </si>
  <si>
    <t>Formulation #</t>
  </si>
  <si>
    <t>Condition</t>
  </si>
  <si>
    <t>Pull Day</t>
  </si>
  <si>
    <t>Time Point (months)</t>
  </si>
  <si>
    <r>
      <t>5</t>
    </r>
    <r>
      <rPr>
        <sz val="11"/>
        <color theme="1"/>
        <rFont val="Aptos Narrow"/>
        <family val="2"/>
      </rPr>
      <t>°C</t>
    </r>
  </si>
  <si>
    <r>
      <t>25</t>
    </r>
    <r>
      <rPr>
        <sz val="11"/>
        <color theme="1"/>
        <rFont val="Aptos Narrow"/>
        <family val="2"/>
      </rPr>
      <t>°C</t>
    </r>
  </si>
  <si>
    <t>40°C</t>
  </si>
  <si>
    <t>F/T</t>
  </si>
  <si>
    <t>5X</t>
  </si>
  <si>
    <t>Osmolality (mOsm/kg)</t>
  </si>
  <si>
    <t>Scattering Onset</t>
  </si>
  <si>
    <t>FD-004-071</t>
  </si>
  <si>
    <t>FD-004-072</t>
  </si>
  <si>
    <t>FD-004-073</t>
  </si>
  <si>
    <t>FD-004-074</t>
  </si>
  <si>
    <t>FD-004-075</t>
  </si>
  <si>
    <t>FD-004-076</t>
  </si>
  <si>
    <t>FD-004-077</t>
  </si>
  <si>
    <t>FD-004-078</t>
  </si>
  <si>
    <t>FD-004-079</t>
  </si>
  <si>
    <t>FD-004-080</t>
  </si>
  <si>
    <t>FD-004-081</t>
  </si>
  <si>
    <t>FD-004-082</t>
  </si>
  <si>
    <t>FD-004-083</t>
  </si>
  <si>
    <t>FD-004-084</t>
  </si>
  <si>
    <t>FD-004-085</t>
  </si>
  <si>
    <t>FD-004-086</t>
  </si>
  <si>
    <t>FD-004-087</t>
  </si>
  <si>
    <t>FD-004-088</t>
  </si>
  <si>
    <t>FD-004-089</t>
  </si>
  <si>
    <t>FD-004-090</t>
  </si>
  <si>
    <t>FD-004-091</t>
  </si>
  <si>
    <t>FD-004-092</t>
  </si>
  <si>
    <t>FD-004-093</t>
  </si>
  <si>
    <t>FD-004-094</t>
  </si>
  <si>
    <t>FD-004-095</t>
  </si>
  <si>
    <t>FD-004-096</t>
  </si>
  <si>
    <t>FD-004-097</t>
  </si>
  <si>
    <t>FD-004-098</t>
  </si>
  <si>
    <t>FD-004-099</t>
  </si>
  <si>
    <t>FD-004-100</t>
  </si>
  <si>
    <t>FD-004-101</t>
  </si>
  <si>
    <t>FD-004-102</t>
  </si>
  <si>
    <t>FD-004-103</t>
  </si>
  <si>
    <t>FD-004-104</t>
  </si>
  <si>
    <t>FD-004-105</t>
  </si>
  <si>
    <t>FD-004-106</t>
  </si>
  <si>
    <t>FD-004-107</t>
  </si>
  <si>
    <t>FD-004-108</t>
  </si>
  <si>
    <t>FD-004-109</t>
  </si>
  <si>
    <t>FD-004-110</t>
  </si>
  <si>
    <t>Area</t>
  </si>
  <si>
    <t>FD-004-111</t>
  </si>
  <si>
    <t>FD-004-112</t>
  </si>
  <si>
    <t>FD-004-113</t>
  </si>
  <si>
    <t>FD-004-114</t>
  </si>
  <si>
    <t>FD-004-115</t>
  </si>
  <si>
    <t>FD-004-116</t>
  </si>
  <si>
    <t>FD-004-117</t>
  </si>
  <si>
    <t>FD-004-118</t>
  </si>
  <si>
    <t>FD-004-119</t>
  </si>
  <si>
    <t>FD-004-120</t>
  </si>
  <si>
    <t>FD-004-121</t>
  </si>
  <si>
    <t>FD-004-122</t>
  </si>
  <si>
    <t>FD-004-123</t>
  </si>
  <si>
    <t>FD-004-124</t>
  </si>
  <si>
    <t>FD-004-125</t>
  </si>
  <si>
    <t>FD-004-126</t>
  </si>
  <si>
    <t>FD-004-127</t>
  </si>
  <si>
    <t>FD-004-128</t>
  </si>
  <si>
    <t>FD-004-129</t>
  </si>
  <si>
    <t>FD-004-130</t>
  </si>
  <si>
    <t>Glycine (mg/mL)</t>
  </si>
  <si>
    <t>25°C</t>
  </si>
  <si>
    <t>0X</t>
  </si>
  <si>
    <t>FD-004-008 A</t>
  </si>
  <si>
    <t>FD-004-009 A</t>
  </si>
  <si>
    <t>FD-004-010 A</t>
  </si>
  <si>
    <t>FD-004-011 A</t>
  </si>
  <si>
    <t>FD-004-012 A</t>
  </si>
  <si>
    <t>FD-004-013 A</t>
  </si>
  <si>
    <t>FD-004-014 A</t>
  </si>
  <si>
    <t>FD-004-015 A</t>
  </si>
  <si>
    <t>FD-004-016 A</t>
  </si>
  <si>
    <t>FD-004-017 A</t>
  </si>
  <si>
    <t>FD-004-018 A</t>
  </si>
  <si>
    <t>FD-004-019 A</t>
  </si>
  <si>
    <t>FD-004-020 A</t>
  </si>
  <si>
    <t>FD-004-021 A</t>
  </si>
  <si>
    <t>FD-004-075 A</t>
  </si>
  <si>
    <t>FD-004-076 A</t>
  </si>
  <si>
    <t>FD-004-077 A</t>
  </si>
  <si>
    <t>FD-004-078 A</t>
  </si>
  <si>
    <t>FD-004-079 A</t>
  </si>
  <si>
    <t>FD-004-080 A</t>
  </si>
  <si>
    <t>FD-004-081 A</t>
  </si>
  <si>
    <t>FD-004-082 A</t>
  </si>
  <si>
    <t>Result ID</t>
  </si>
  <si>
    <t>Row Labels</t>
  </si>
  <si>
    <t>Column Labels</t>
  </si>
  <si>
    <t>Sum of Main</t>
  </si>
  <si>
    <t>40C</t>
  </si>
  <si>
    <t>25C</t>
  </si>
  <si>
    <t>Clear, colorless, one ~ 2 mm white fiber</t>
  </si>
  <si>
    <t>FD-004-113 A</t>
  </si>
  <si>
    <t>FD-004-114 A</t>
  </si>
  <si>
    <t>FD-004-115 A</t>
  </si>
  <si>
    <t>FD-004-116 A</t>
  </si>
  <si>
    <t>FD-004-022 A</t>
  </si>
  <si>
    <t>FD-004-023 A</t>
  </si>
  <si>
    <t>FD-004-024 A</t>
  </si>
  <si>
    <t>FD-004-025 A</t>
  </si>
  <si>
    <t>FD-004-026 A</t>
  </si>
  <si>
    <t>FD-004-027 A</t>
  </si>
  <si>
    <t>FD-004-028 A</t>
  </si>
  <si>
    <t>FD-004-029 A</t>
  </si>
  <si>
    <t>FD-004-030 A</t>
  </si>
  <si>
    <t>FD-004-031 A</t>
  </si>
  <si>
    <t>FD-004-032 A</t>
  </si>
  <si>
    <t>FD-004-033 A</t>
  </si>
  <si>
    <t>FD-004-034 A</t>
  </si>
  <si>
    <t>FD-004-035 A</t>
  </si>
  <si>
    <t>FD-004-083 A</t>
  </si>
  <si>
    <t>FD-004-084 A</t>
  </si>
  <si>
    <t>FD-004-085 A</t>
  </si>
  <si>
    <t>FD-004-086 A</t>
  </si>
  <si>
    <t>FD-004-087 A</t>
  </si>
  <si>
    <t>FD-004-088 A</t>
  </si>
  <si>
    <t>FD-004-089 A</t>
  </si>
  <si>
    <t>FD-004-090 A</t>
  </si>
  <si>
    <t>Clear, colorless, practically free from particles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</si>
</sst>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14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0" fillId="6" borderId="0" xfId="0" applyFill="1"/>
    <xf numFmtId="0" fontId="4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Additional Cryoprotectant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Current Formulation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Sheet2!$J$5:$N$5</c:f>
              <c:numCache>
                <c:formatCode>General</c:formatCode>
                <c:ptCount val="5"/>
                <c:pt idx="0">
                  <c:v>0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0.16</c:v>
                </c:pt>
                <c:pt idx="4">
                  <c:v>0.2</c:v>
                </c:pt>
              </c:numCache>
            </c:numRef>
          </c:xVal>
          <c:yVal>
            <c:numRef>
              <c:f>Sheet2!$J$6:$N$6</c:f>
              <c:numCache>
                <c:formatCode>General</c:formatCode>
                <c:ptCount val="5"/>
                <c:pt idx="0">
                  <c:v>98.55</c:v>
                </c:pt>
                <c:pt idx="2">
                  <c:v>98.23</c:v>
                </c:pt>
                <c:pt idx="4">
                  <c:v>98.31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34-4EA4-A49F-A4B2674E7FC3}"/>
            </c:ext>
          </c:extLst>
        </c:ser>
        <c:ser>
          <c:idx val="1"/>
          <c:order val="1"/>
          <c:tx>
            <c:v>Sucrose Only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Sheet2!$J$5:$N$5</c:f>
              <c:numCache>
                <c:formatCode>General</c:formatCode>
                <c:ptCount val="5"/>
                <c:pt idx="0">
                  <c:v>0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0.16</c:v>
                </c:pt>
                <c:pt idx="4">
                  <c:v>0.2</c:v>
                </c:pt>
              </c:numCache>
            </c:numRef>
          </c:xVal>
          <c:yVal>
            <c:numRef>
              <c:f>Sheet2!$J$7:$N$7</c:f>
              <c:numCache>
                <c:formatCode>General</c:formatCode>
                <c:ptCount val="5"/>
                <c:pt idx="0">
                  <c:v>98.57</c:v>
                </c:pt>
                <c:pt idx="2">
                  <c:v>98.51</c:v>
                </c:pt>
                <c:pt idx="4">
                  <c:v>98.35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34-4EA4-A49F-A4B2674E7FC3}"/>
            </c:ext>
          </c:extLst>
        </c:ser>
        <c:ser>
          <c:idx val="2"/>
          <c:order val="2"/>
          <c:tx>
            <c:v>Sucrose/Sorbitol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Sheet2!$J$5:$N$5</c:f>
              <c:numCache>
                <c:formatCode>General</c:formatCode>
                <c:ptCount val="5"/>
                <c:pt idx="0">
                  <c:v>0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0.16</c:v>
                </c:pt>
                <c:pt idx="4">
                  <c:v>0.2</c:v>
                </c:pt>
              </c:numCache>
            </c:numRef>
          </c:xVal>
          <c:yVal>
            <c:numRef>
              <c:f>Sheet2!$J$13:$N$13</c:f>
              <c:numCache>
                <c:formatCode>General</c:formatCode>
                <c:ptCount val="5"/>
                <c:pt idx="0">
                  <c:v>98.63</c:v>
                </c:pt>
                <c:pt idx="1">
                  <c:v>98.16</c:v>
                </c:pt>
                <c:pt idx="3">
                  <c:v>97.91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34-4EA4-A49F-A4B2674E7FC3}"/>
            </c:ext>
          </c:extLst>
        </c:ser>
        <c:ser>
          <c:idx val="3"/>
          <c:order val="3"/>
          <c:tx>
            <c:v>Sucrose/Trehalose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Sheet2!$J$5:$N$5</c:f>
              <c:numCache>
                <c:formatCode>General</c:formatCode>
                <c:ptCount val="5"/>
                <c:pt idx="0">
                  <c:v>0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0.16</c:v>
                </c:pt>
                <c:pt idx="4">
                  <c:v>0.2</c:v>
                </c:pt>
              </c:numCache>
            </c:numRef>
          </c:xVal>
          <c:yVal>
            <c:numRef>
              <c:f>Sheet2!$J$14:$N$14</c:f>
              <c:numCache>
                <c:formatCode>General</c:formatCode>
                <c:ptCount val="5"/>
                <c:pt idx="0">
                  <c:v>98.41</c:v>
                </c:pt>
                <c:pt idx="1">
                  <c:v>98.45</c:v>
                </c:pt>
                <c:pt idx="3">
                  <c:v>98.42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34-4EA4-A49F-A4B2674E7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636960"/>
        <c:axId val="407636480"/>
      </c:scatterChart>
      <c:valAx>
        <c:axId val="40763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36480"/>
        <c:crosses val="autoZero"/>
        <c:crossBetween val="midCat"/>
      </c:valAx>
      <c:valAx>
        <c:axId val="407636480"/>
        <c:scaling>
          <c:orientation val="minMax"/>
          <c:min val="96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3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Arginine</a:t>
            </a:r>
            <a:r>
              <a:rPr lang="en-US" baseline="0"/>
              <a:t> HCl and Additional Cryoprotectant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Current Formulation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Sheet2!$J$5:$N$5</c:f>
              <c:numCache>
                <c:formatCode>General</c:formatCode>
                <c:ptCount val="5"/>
                <c:pt idx="0">
                  <c:v>0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0.16</c:v>
                </c:pt>
                <c:pt idx="4">
                  <c:v>0.2</c:v>
                </c:pt>
              </c:numCache>
            </c:numRef>
          </c:xVal>
          <c:yVal>
            <c:numRef>
              <c:f>Sheet2!$J$6:$N$6</c:f>
              <c:numCache>
                <c:formatCode>General</c:formatCode>
                <c:ptCount val="5"/>
                <c:pt idx="0">
                  <c:v>98.55</c:v>
                </c:pt>
                <c:pt idx="2">
                  <c:v>98.23</c:v>
                </c:pt>
                <c:pt idx="4">
                  <c:v>98.31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3E-4225-AD0A-8FC885FE4C6C}"/>
            </c:ext>
          </c:extLst>
        </c:ser>
        <c:ser>
          <c:idx val="1"/>
          <c:order val="1"/>
          <c:tx>
            <c:v>Sucrose/Arg HCl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Sheet2!$J$5:$N$5</c:f>
              <c:numCache>
                <c:formatCode>General</c:formatCode>
                <c:ptCount val="5"/>
                <c:pt idx="0">
                  <c:v>0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0.16</c:v>
                </c:pt>
                <c:pt idx="4">
                  <c:v>0.2</c:v>
                </c:pt>
              </c:numCache>
            </c:numRef>
          </c:xVal>
          <c:yVal>
            <c:numRef>
              <c:f>Sheet2!$J$10:$N$10</c:f>
              <c:numCache>
                <c:formatCode>General</c:formatCode>
                <c:ptCount val="5"/>
                <c:pt idx="0">
                  <c:v>97.8</c:v>
                </c:pt>
                <c:pt idx="2">
                  <c:v>97.67</c:v>
                </c:pt>
                <c:pt idx="4">
                  <c:v>97.49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3E-4225-AD0A-8FC885FE4C6C}"/>
            </c:ext>
          </c:extLst>
        </c:ser>
        <c:ser>
          <c:idx val="2"/>
          <c:order val="2"/>
          <c:tx>
            <c:v>Sucrose/Sorbitol/Arg HCl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Sheet2!$J$5:$N$5</c:f>
              <c:numCache>
                <c:formatCode>General</c:formatCode>
                <c:ptCount val="5"/>
                <c:pt idx="0">
                  <c:v>0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0.16</c:v>
                </c:pt>
                <c:pt idx="4">
                  <c:v>0.2</c:v>
                </c:pt>
              </c:numCache>
            </c:numRef>
          </c:xVal>
          <c:yVal>
            <c:numRef>
              <c:f>Sheet2!$J$15:$N$15</c:f>
              <c:numCache>
                <c:formatCode>General</c:formatCode>
                <c:ptCount val="5"/>
                <c:pt idx="0">
                  <c:v>97.56</c:v>
                </c:pt>
                <c:pt idx="1">
                  <c:v>97.38</c:v>
                </c:pt>
                <c:pt idx="3">
                  <c:v>97.3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93E-4225-AD0A-8FC885FE4C6C}"/>
            </c:ext>
          </c:extLst>
        </c:ser>
        <c:ser>
          <c:idx val="3"/>
          <c:order val="3"/>
          <c:tx>
            <c:v>Sucrose/Trehalose/Arg HCl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Sheet2!$J$5:$N$5</c:f>
              <c:numCache>
                <c:formatCode>General</c:formatCode>
                <c:ptCount val="5"/>
                <c:pt idx="0">
                  <c:v>0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0.16</c:v>
                </c:pt>
                <c:pt idx="4">
                  <c:v>0.2</c:v>
                </c:pt>
              </c:numCache>
            </c:numRef>
          </c:xVal>
          <c:yVal>
            <c:numRef>
              <c:f>Sheet2!$J$16:$N$16</c:f>
              <c:numCache>
                <c:formatCode>General</c:formatCode>
                <c:ptCount val="5"/>
                <c:pt idx="0">
                  <c:v>97.47</c:v>
                </c:pt>
                <c:pt idx="1">
                  <c:v>97.17</c:v>
                </c:pt>
                <c:pt idx="3">
                  <c:v>97.12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93E-4225-AD0A-8FC885FE4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636960"/>
        <c:axId val="407636480"/>
      </c:scatterChart>
      <c:valAx>
        <c:axId val="40763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36480"/>
        <c:crosses val="autoZero"/>
        <c:crossBetween val="midCat"/>
      </c:valAx>
      <c:valAx>
        <c:axId val="40763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3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Additional</a:t>
            </a:r>
            <a:r>
              <a:rPr lang="en-US" baseline="0"/>
              <a:t> Cryoprotectant and PS80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Current Formulation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Sheet2!$J$5:$N$5</c:f>
              <c:numCache>
                <c:formatCode>General</c:formatCode>
                <c:ptCount val="5"/>
                <c:pt idx="0">
                  <c:v>0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0.16</c:v>
                </c:pt>
                <c:pt idx="4">
                  <c:v>0.2</c:v>
                </c:pt>
              </c:numCache>
            </c:numRef>
          </c:xVal>
          <c:yVal>
            <c:numRef>
              <c:f>Sheet2!$J$6:$N$6</c:f>
              <c:numCache>
                <c:formatCode>General</c:formatCode>
                <c:ptCount val="5"/>
                <c:pt idx="0">
                  <c:v>98.55</c:v>
                </c:pt>
                <c:pt idx="2">
                  <c:v>98.23</c:v>
                </c:pt>
                <c:pt idx="4">
                  <c:v>98.31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57-495E-852A-5FDA7F2F6DA4}"/>
            </c:ext>
          </c:extLst>
        </c:ser>
        <c:ser>
          <c:idx val="1"/>
          <c:order val="1"/>
          <c:tx>
            <c:v>Sucrose/PS80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Sheet2!$J$5:$N$5</c:f>
              <c:numCache>
                <c:formatCode>General</c:formatCode>
                <c:ptCount val="5"/>
                <c:pt idx="0">
                  <c:v>0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0.16</c:v>
                </c:pt>
                <c:pt idx="4">
                  <c:v>0.2</c:v>
                </c:pt>
              </c:numCache>
            </c:numRef>
          </c:xVal>
          <c:yVal>
            <c:numRef>
              <c:f>Sheet2!$J$17:$N$17</c:f>
              <c:numCache>
                <c:formatCode>General</c:formatCode>
                <c:ptCount val="5"/>
                <c:pt idx="0">
                  <c:v>98.43</c:v>
                </c:pt>
                <c:pt idx="2">
                  <c:v>98.47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57-495E-852A-5FDA7F2F6DA4}"/>
            </c:ext>
          </c:extLst>
        </c:ser>
        <c:ser>
          <c:idx val="2"/>
          <c:order val="2"/>
          <c:tx>
            <c:v>Sucrose/Glycine/PS80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Sheet2!$J$5:$N$5</c:f>
              <c:numCache>
                <c:formatCode>General</c:formatCode>
                <c:ptCount val="5"/>
                <c:pt idx="0">
                  <c:v>0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0.16</c:v>
                </c:pt>
                <c:pt idx="4">
                  <c:v>0.2</c:v>
                </c:pt>
              </c:numCache>
            </c:numRef>
          </c:xVal>
          <c:yVal>
            <c:numRef>
              <c:f>Sheet2!$J$18:$N$18</c:f>
              <c:numCache>
                <c:formatCode>General</c:formatCode>
                <c:ptCount val="5"/>
                <c:pt idx="0">
                  <c:v>98.55</c:v>
                </c:pt>
                <c:pt idx="2">
                  <c:v>98.55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57-495E-852A-5FDA7F2F6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636960"/>
        <c:axId val="407636480"/>
      </c:scatterChart>
      <c:valAx>
        <c:axId val="40763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36480"/>
        <c:crosses val="autoZero"/>
        <c:crossBetween val="midCat"/>
      </c:valAx>
      <c:valAx>
        <c:axId val="407636480"/>
        <c:scaling>
          <c:orientation val="minMax"/>
          <c:min val="96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3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161924</xdr:colOff>
      <xdr:row>22</xdr:row>
      <xdr:rowOff>53974</xdr:rowOff>
    </xdr:from>
    <xdr:to>
      <xdr:col>10</xdr:col>
      <xdr:colOff>50799</xdr:colOff>
      <xdr:row>42</xdr:row>
      <xdr:rowOff>101599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91E9E6-CC34-C5FC-8A18-0CC7CD92B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196850</xdr:colOff>
      <xdr:row>22</xdr:row>
      <xdr:rowOff>82550</xdr:rowOff>
    </xdr:from>
    <xdr:to>
      <xdr:col>22</xdr:col>
      <xdr:colOff>428625</xdr:colOff>
      <xdr:row>42</xdr:row>
      <xdr:rowOff>130175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CAD49-2C33-41FD-BEF3-6AB2F675E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584200</xdr:colOff>
      <xdr:row>22</xdr:row>
      <xdr:rowOff>69850</xdr:rowOff>
    </xdr:from>
    <xdr:to>
      <xdr:col>32</xdr:col>
      <xdr:colOff>606425</xdr:colOff>
      <xdr:row>42</xdr:row>
      <xdr:rowOff>117475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DC8AA1-D9D9-4B8F-A4DE-2B3442469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lly Grun" refreshedDate="45895.426106481478" createdVersion="8" refreshedVersion="8" minRefreshableVersion="3" recordCount="195" xr:uid="{86F95D94-E353-4862-9E4D-4239BDBFE044}">
  <cacheSource type="worksheet">
    <worksheetSource ref="A1:X218" sheet="Sheet1"/>
  </cacheSource>
  <cacheFields count="24">
    <cacheField name="Sample ID" numFmtId="0">
      <sharedItems/>
    </cacheField>
    <cacheField name="Histidine (mM)" numFmtId="0">
      <sharedItems containsSemiMixedTypes="0" containsString="0" containsNumber="1" minValue="4.7" maxValue="4.7"/>
    </cacheField>
    <cacheField name="pH" numFmtId="0">
      <sharedItems containsSemiMixedTypes="0" containsString="0" containsNumber="1" minValue="6.1" maxValue="6.1"/>
    </cacheField>
    <cacheField name="Arginine HCl (mg/mL)" numFmtId="0">
      <sharedItems containsSemiMixedTypes="0" containsString="0" containsNumber="1" containsInteger="1" minValue="0" maxValue="20"/>
    </cacheField>
    <cacheField name="Sucrose (mg/mL)" numFmtId="0">
      <sharedItems containsSemiMixedTypes="0" containsString="0" containsNumber="1" containsInteger="1" minValue="10" maxValue="95"/>
    </cacheField>
    <cacheField name="Sorbitol (mg/mL)" numFmtId="0">
      <sharedItems containsSemiMixedTypes="0" containsString="0" containsNumber="1" containsInteger="1" minValue="0" maxValue="50"/>
    </cacheField>
    <cacheField name="Trehalose (mg/mL)" numFmtId="0">
      <sharedItems containsSemiMixedTypes="0" containsString="0" containsNumber="1" containsInteger="1" minValue="0" maxValue="90"/>
    </cacheField>
    <cacheField name="Glycine (mg/mL)" numFmtId="0">
      <sharedItems containsSemiMixedTypes="0" containsString="0" containsNumber="1" containsInteger="1" minValue="0" maxValue="20"/>
    </cacheField>
    <cacheField name="PS80 (mg/mL)" numFmtId="0">
      <sharedItems containsSemiMixedTypes="0" containsString="0" containsNumber="1" minValue="0.09" maxValue="0.5"/>
    </cacheField>
    <cacheField name="Formulation #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Condition" numFmtId="0">
      <sharedItems count="4">
        <s v="5°C"/>
        <s v="25°C"/>
        <s v="40°C"/>
        <s v="F/T"/>
      </sharedItems>
    </cacheField>
    <cacheField name="Pull Day" numFmtId="0">
      <sharedItems containsNonDate="0" containsDate="1" containsString="0" containsBlank="1" minDate="2025-08-19T00:00:00" maxDate="2025-08-26T00:00:00"/>
    </cacheField>
    <cacheField name="Time Point (months)" numFmtId="0">
      <sharedItems containsMixedTypes="1" containsNumber="1" minValue="0" maxValue="6" count="12">
        <n v="0"/>
        <s v="0X"/>
        <n v="0.1"/>
        <n v="0.2"/>
        <n v="0.25"/>
        <n v="0.5"/>
        <s v="5X"/>
        <n v="1"/>
        <n v="3"/>
        <n v="6"/>
        <n v="7.0000000000000007E-2"/>
        <n v="0.16"/>
      </sharedItems>
    </cacheField>
    <cacheField name="Appearance" numFmtId="0">
      <sharedItems containsBlank="1"/>
    </cacheField>
    <cacheField name="Concentration (mg/mL)" numFmtId="165">
      <sharedItems containsString="0" containsBlank="1" containsNumber="1" minValue="0.877" maxValue="1.08"/>
    </cacheField>
    <cacheField name="pH2" numFmtId="0">
      <sharedItems containsString="0" containsBlank="1" containsNumber="1" minValue="5.92" maxValue="6.16"/>
    </cacheField>
    <cacheField name="Result ID" numFmtId="0">
      <sharedItems containsString="0" containsBlank="1" containsNumber="1" containsInteger="1" minValue="76382" maxValue="77569"/>
    </cacheField>
    <cacheField name="HMW" numFmtId="0">
      <sharedItems containsString="0" containsBlank="1" containsNumber="1" minValue="0.41" maxValue="3.25"/>
    </cacheField>
    <cacheField name="Main" numFmtId="0">
      <sharedItems containsString="0" containsBlank="1" containsNumber="1" minValue="95.62" maxValue="98.63"/>
    </cacheField>
    <cacheField name="LMW" numFmtId="0">
      <sharedItems containsString="0" containsBlank="1" containsNumber="1" minValue="0.83" maxValue="1.62"/>
    </cacheField>
    <cacheField name="Area" numFmtId="0">
      <sharedItems containsString="0" containsBlank="1" containsNumber="1" containsInteger="1" minValue="1195045" maxValue="1626076"/>
    </cacheField>
    <cacheField name="Tm" numFmtId="0">
      <sharedItems containsString="0" containsBlank="1" containsNumber="1" minValue="57.715007781982422" maxValue="61.006732940673828"/>
    </cacheField>
    <cacheField name="Scattering Onset" numFmtId="0">
      <sharedItems containsString="0" containsBlank="1" containsNumber="1" minValue="50.899547576904297" maxValue="62.944774627685547"/>
    </cacheField>
    <cacheField name="Osmolality (mOsm/kg)" numFmtId="0">
      <sharedItems containsString="0" containsBlank="1" containsNumber="1" containsInteger="1" minValue="74" maxValue="4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s v="FD-004-001"/>
    <n v="4.7"/>
    <n v="6.1"/>
    <n v="0"/>
    <n v="20"/>
    <n v="0"/>
    <n v="0"/>
    <n v="0"/>
    <n v="0.09"/>
    <x v="0"/>
    <x v="0"/>
    <d v="2025-08-19T00:00:00"/>
    <x v="0"/>
    <s v="Clear, colorless, practically free of particles"/>
    <n v="0.996"/>
    <n v="6.09"/>
    <n v="76382"/>
    <n v="0.56000000000000005"/>
    <n v="98.55"/>
    <n v="0.89"/>
    <n v="1543215"/>
    <n v="59.873512268066406"/>
    <n v="62.944774627685547"/>
    <n v="74"/>
  </r>
  <r>
    <s v="FD-004-002"/>
    <n v="4.7"/>
    <n v="6.1"/>
    <n v="0"/>
    <n v="95"/>
    <n v="0"/>
    <n v="0"/>
    <n v="0"/>
    <n v="0.09"/>
    <x v="1"/>
    <x v="0"/>
    <d v="2025-08-19T00:00:00"/>
    <x v="0"/>
    <s v="Clear, colorless, practically free of particles"/>
    <n v="0.878"/>
    <n v="6.05"/>
    <n v="76387"/>
    <n v="0.44"/>
    <n v="98.57"/>
    <n v="0.99"/>
    <n v="1380809"/>
    <n v="60.677810668945313"/>
    <n v="50.899547576904297"/>
    <n v="330"/>
  </r>
  <r>
    <s v="FD-004-003"/>
    <n v="4.7"/>
    <n v="6.1"/>
    <n v="0"/>
    <n v="10"/>
    <n v="50"/>
    <n v="0"/>
    <n v="0"/>
    <n v="0.09"/>
    <x v="2"/>
    <x v="0"/>
    <d v="2025-08-19T00:00:00"/>
    <x v="0"/>
    <s v="Clear, colorless, practically free of particles"/>
    <n v="0.878"/>
    <n v="6.06"/>
    <n v="76392"/>
    <n v="0.47"/>
    <n v="98.41"/>
    <n v="1.1100000000000001"/>
    <n v="1359544"/>
    <n v="60.654537200927734"/>
    <n v="56.935665130615234"/>
    <n v="327"/>
  </r>
  <r>
    <s v="FD-004-004"/>
    <n v="4.7"/>
    <n v="6.1"/>
    <n v="0"/>
    <n v="10"/>
    <n v="0"/>
    <n v="90"/>
    <n v="0"/>
    <n v="0.09"/>
    <x v="3"/>
    <x v="0"/>
    <d v="2025-08-19T00:00:00"/>
    <x v="0"/>
    <s v="Clear, colorless, practically free of particles"/>
    <n v="0.90100000000000002"/>
    <n v="6.06"/>
    <n v="76397"/>
    <n v="0.49"/>
    <n v="98.63"/>
    <n v="0.88"/>
    <n v="1376246"/>
    <n v="61.006732940673828"/>
    <n v="56.256198883056641"/>
    <n v="324"/>
  </r>
  <r>
    <s v="FD-004-005"/>
    <n v="4.7"/>
    <n v="6.1"/>
    <n v="20"/>
    <n v="45"/>
    <n v="0"/>
    <n v="0"/>
    <n v="0"/>
    <n v="0.09"/>
    <x v="4"/>
    <x v="0"/>
    <d v="2025-08-19T00:00:00"/>
    <x v="0"/>
    <s v="Clear, colorless, practically free of particles"/>
    <n v="1.028"/>
    <n v="6.07"/>
    <n v="76402"/>
    <n v="1.37"/>
    <n v="97.8"/>
    <n v="0.83"/>
    <n v="1626076"/>
    <n v="57.715007781982422"/>
    <n v="54.348690032958984"/>
    <n v="328"/>
  </r>
  <r>
    <s v="FD-004-006"/>
    <n v="4.7"/>
    <n v="6.1"/>
    <n v="10"/>
    <n v="10"/>
    <n v="35"/>
    <n v="0"/>
    <n v="0"/>
    <n v="0.09"/>
    <x v="5"/>
    <x v="0"/>
    <d v="2025-08-19T00:00:00"/>
    <x v="0"/>
    <s v="Clear, colorless, practically free of particles"/>
    <n v="1.0189999999999999"/>
    <n v="6.1"/>
    <n v="76407"/>
    <n v="1.39"/>
    <n v="97.59"/>
    <n v="1.03"/>
    <n v="1606692"/>
    <n v="59.050693511962891"/>
    <n v="54.836231231689453"/>
    <n v="328"/>
  </r>
  <r>
    <s v="FD-004-007"/>
    <n v="4.7"/>
    <n v="6.1"/>
    <n v="20"/>
    <n v="10"/>
    <n v="0"/>
    <n v="40"/>
    <n v="0"/>
    <n v="0.09"/>
    <x v="6"/>
    <x v="0"/>
    <d v="2025-08-19T00:00:00"/>
    <x v="0"/>
    <s v="Clear, colorless, practically free of particles"/>
    <n v="1.0149999999999999"/>
    <n v="6.08"/>
    <n v="76412"/>
    <n v="1.43"/>
    <n v="97.6"/>
    <n v="0.97"/>
    <n v="1606700"/>
    <n v="58.027717590332031"/>
    <n v="54.807151794433594"/>
    <n v="337"/>
  </r>
  <r>
    <s v="FD-004-001"/>
    <n v="4.7"/>
    <n v="6.1"/>
    <n v="0"/>
    <n v="20"/>
    <n v="0"/>
    <n v="0"/>
    <n v="0"/>
    <n v="0.09"/>
    <x v="0"/>
    <x v="1"/>
    <d v="2025-08-19T00:00:00"/>
    <x v="0"/>
    <s v="Clear, colorless, practically free of particles"/>
    <n v="0.996"/>
    <n v="6.09"/>
    <n v="76382"/>
    <n v="0.56000000000000005"/>
    <n v="98.55"/>
    <n v="0.89"/>
    <n v="1543215"/>
    <n v="59.873512268066406"/>
    <n v="62.944774627685547"/>
    <n v="74"/>
  </r>
  <r>
    <s v="FD-004-002"/>
    <n v="4.7"/>
    <n v="6.1"/>
    <n v="0"/>
    <n v="95"/>
    <n v="0"/>
    <n v="0"/>
    <n v="0"/>
    <n v="0.09"/>
    <x v="1"/>
    <x v="1"/>
    <d v="2025-08-19T00:00:00"/>
    <x v="0"/>
    <s v="Clear, colorless, practically free of particles"/>
    <n v="0.878"/>
    <n v="6.05"/>
    <n v="76387"/>
    <n v="0.44"/>
    <n v="98.57"/>
    <n v="0.99"/>
    <n v="1380809"/>
    <n v="60.677810668945313"/>
    <n v="50.899547576904297"/>
    <n v="330"/>
  </r>
  <r>
    <s v="FD-004-003"/>
    <n v="4.7"/>
    <n v="6.1"/>
    <n v="0"/>
    <n v="10"/>
    <n v="50"/>
    <n v="0"/>
    <n v="0"/>
    <n v="0.09"/>
    <x v="2"/>
    <x v="1"/>
    <d v="2025-08-19T00:00:00"/>
    <x v="0"/>
    <s v="Clear, colorless, practically free of particles"/>
    <n v="0.878"/>
    <n v="6.06"/>
    <n v="76392"/>
    <n v="0.47"/>
    <n v="98.41"/>
    <n v="1.1100000000000001"/>
    <n v="1359544"/>
    <n v="60.654537200927734"/>
    <n v="56.935665130615234"/>
    <n v="327"/>
  </r>
  <r>
    <s v="FD-004-004"/>
    <n v="4.7"/>
    <n v="6.1"/>
    <n v="0"/>
    <n v="10"/>
    <n v="0"/>
    <n v="90"/>
    <n v="0"/>
    <n v="0.09"/>
    <x v="3"/>
    <x v="1"/>
    <d v="2025-08-19T00:00:00"/>
    <x v="0"/>
    <s v="Clear, colorless, practically free of particles"/>
    <n v="0.90100000000000002"/>
    <n v="6.06"/>
    <n v="76397"/>
    <n v="0.49"/>
    <n v="98.63"/>
    <n v="0.88"/>
    <n v="1376246"/>
    <n v="61.006732940673828"/>
    <n v="56.256198883056641"/>
    <n v="324"/>
  </r>
  <r>
    <s v="FD-004-005"/>
    <n v="4.7"/>
    <n v="6.1"/>
    <n v="20"/>
    <n v="45"/>
    <n v="0"/>
    <n v="0"/>
    <n v="0"/>
    <n v="0.09"/>
    <x v="4"/>
    <x v="1"/>
    <d v="2025-08-19T00:00:00"/>
    <x v="0"/>
    <s v="Clear, colorless, practically free of particles"/>
    <n v="1.028"/>
    <n v="6.07"/>
    <n v="76402"/>
    <n v="1.37"/>
    <n v="97.8"/>
    <n v="0.83"/>
    <n v="1626076"/>
    <n v="57.715007781982422"/>
    <n v="54.348690032958984"/>
    <n v="328"/>
  </r>
  <r>
    <s v="FD-004-006"/>
    <n v="4.7"/>
    <n v="6.1"/>
    <n v="10"/>
    <n v="10"/>
    <n v="35"/>
    <n v="0"/>
    <n v="0"/>
    <n v="0.09"/>
    <x v="5"/>
    <x v="1"/>
    <d v="2025-08-19T00:00:00"/>
    <x v="0"/>
    <s v="Clear, colorless, practically free of particles"/>
    <n v="1.0189999999999999"/>
    <n v="6.1"/>
    <n v="76407"/>
    <n v="1.39"/>
    <n v="97.59"/>
    <n v="1.03"/>
    <n v="1606692"/>
    <n v="59.050693511962891"/>
    <n v="54.836231231689453"/>
    <n v="328"/>
  </r>
  <r>
    <s v="FD-004-007"/>
    <n v="4.7"/>
    <n v="6.1"/>
    <n v="20"/>
    <n v="10"/>
    <n v="0"/>
    <n v="40"/>
    <n v="0"/>
    <n v="0.09"/>
    <x v="6"/>
    <x v="1"/>
    <d v="2025-08-19T00:00:00"/>
    <x v="0"/>
    <s v="Clear, colorless, practically free of particles"/>
    <n v="1.0149999999999999"/>
    <n v="6.08"/>
    <n v="76412"/>
    <n v="1.43"/>
    <n v="97.6"/>
    <n v="0.97"/>
    <n v="1606700"/>
    <n v="58.027717590332031"/>
    <n v="54.807151794433594"/>
    <n v="337"/>
  </r>
  <r>
    <s v="FD-004-001"/>
    <n v="4.7"/>
    <n v="6.1"/>
    <n v="0"/>
    <n v="20"/>
    <n v="0"/>
    <n v="0"/>
    <n v="0"/>
    <n v="0.09"/>
    <x v="0"/>
    <x v="2"/>
    <d v="2025-08-19T00:00:00"/>
    <x v="0"/>
    <s v="Clear, colorless, practically free of particles"/>
    <n v="0.996"/>
    <n v="6.09"/>
    <n v="76382"/>
    <n v="0.56000000000000005"/>
    <n v="98.55"/>
    <n v="0.89"/>
    <n v="1543215"/>
    <n v="59.873512268066406"/>
    <n v="62.944774627685547"/>
    <n v="74"/>
  </r>
  <r>
    <s v="FD-004-002"/>
    <n v="4.7"/>
    <n v="6.1"/>
    <n v="0"/>
    <n v="95"/>
    <n v="0"/>
    <n v="0"/>
    <n v="0"/>
    <n v="0.09"/>
    <x v="1"/>
    <x v="2"/>
    <d v="2025-08-19T00:00:00"/>
    <x v="0"/>
    <s v="Clear, colorless, practically free of particles"/>
    <n v="0.878"/>
    <n v="6.05"/>
    <n v="76387"/>
    <n v="0.44"/>
    <n v="98.57"/>
    <n v="0.99"/>
    <n v="1380809"/>
    <n v="60.677810668945313"/>
    <n v="50.899547576904297"/>
    <n v="330"/>
  </r>
  <r>
    <s v="FD-004-003"/>
    <n v="4.7"/>
    <n v="6.1"/>
    <n v="0"/>
    <n v="10"/>
    <n v="50"/>
    <n v="0"/>
    <n v="0"/>
    <n v="0.09"/>
    <x v="2"/>
    <x v="2"/>
    <d v="2025-08-19T00:00:00"/>
    <x v="0"/>
    <s v="Clear, colorless, practically free of particles"/>
    <n v="0.878"/>
    <n v="6.06"/>
    <n v="76392"/>
    <n v="0.47"/>
    <n v="98.41"/>
    <n v="1.1100000000000001"/>
    <n v="1359544"/>
    <n v="60.654537200927734"/>
    <n v="56.935665130615234"/>
    <n v="327"/>
  </r>
  <r>
    <s v="FD-004-004"/>
    <n v="4.7"/>
    <n v="6.1"/>
    <n v="0"/>
    <n v="10"/>
    <n v="0"/>
    <n v="90"/>
    <n v="0"/>
    <n v="0.09"/>
    <x v="3"/>
    <x v="2"/>
    <d v="2025-08-19T00:00:00"/>
    <x v="0"/>
    <s v="Clear, colorless, practically free of particles"/>
    <n v="0.90100000000000002"/>
    <n v="6.06"/>
    <n v="76397"/>
    <n v="0.49"/>
    <n v="98.63"/>
    <n v="0.88"/>
    <n v="1376246"/>
    <n v="61.006732940673828"/>
    <n v="56.256198883056641"/>
    <n v="324"/>
  </r>
  <r>
    <s v="FD-004-005"/>
    <n v="4.7"/>
    <n v="6.1"/>
    <n v="20"/>
    <n v="45"/>
    <n v="0"/>
    <n v="0"/>
    <n v="0"/>
    <n v="0.09"/>
    <x v="4"/>
    <x v="2"/>
    <d v="2025-08-19T00:00:00"/>
    <x v="0"/>
    <s v="Clear, colorless, practically free of particles"/>
    <n v="1.028"/>
    <n v="6.07"/>
    <n v="76402"/>
    <n v="1.37"/>
    <n v="97.8"/>
    <n v="0.83"/>
    <n v="1626076"/>
    <n v="57.715007781982422"/>
    <n v="54.348690032958984"/>
    <n v="328"/>
  </r>
  <r>
    <s v="FD-004-006"/>
    <n v="4.7"/>
    <n v="6.1"/>
    <n v="10"/>
    <n v="10"/>
    <n v="35"/>
    <n v="0"/>
    <n v="0"/>
    <n v="0.09"/>
    <x v="5"/>
    <x v="2"/>
    <d v="2025-08-19T00:00:00"/>
    <x v="0"/>
    <s v="Clear, colorless, practically free of particles"/>
    <n v="1.0189999999999999"/>
    <n v="6.1"/>
    <n v="76407"/>
    <n v="1.39"/>
    <n v="97.59"/>
    <n v="1.03"/>
    <n v="1606692"/>
    <n v="59.050693511962891"/>
    <n v="54.836231231689453"/>
    <n v="328"/>
  </r>
  <r>
    <s v="FD-004-007"/>
    <n v="4.7"/>
    <n v="6.1"/>
    <n v="20"/>
    <n v="10"/>
    <n v="0"/>
    <n v="40"/>
    <n v="0"/>
    <n v="0.09"/>
    <x v="6"/>
    <x v="2"/>
    <d v="2025-08-19T00:00:00"/>
    <x v="0"/>
    <s v="Clear, colorless, practically free of particles"/>
    <n v="1.0149999999999999"/>
    <n v="6.08"/>
    <n v="76412"/>
    <n v="1.43"/>
    <n v="97.6"/>
    <n v="0.97"/>
    <n v="1606700"/>
    <n v="58.027717590332031"/>
    <n v="54.807151794433594"/>
    <n v="337"/>
  </r>
  <r>
    <s v="FD-004-001"/>
    <n v="4.7"/>
    <n v="6.1"/>
    <n v="0"/>
    <n v="20"/>
    <n v="0"/>
    <n v="0"/>
    <n v="0"/>
    <n v="0.09"/>
    <x v="0"/>
    <x v="3"/>
    <d v="2025-08-19T00:00:00"/>
    <x v="1"/>
    <s v="Clear, colorless, practically free of particles"/>
    <n v="0.996"/>
    <n v="6.09"/>
    <n v="76382"/>
    <n v="0.56000000000000005"/>
    <n v="98.55"/>
    <n v="0.89"/>
    <n v="1543215"/>
    <n v="59.873512268066406"/>
    <n v="62.944774627685547"/>
    <n v="74"/>
  </r>
  <r>
    <s v="FD-004-002"/>
    <n v="4.7"/>
    <n v="6.1"/>
    <n v="0"/>
    <n v="95"/>
    <n v="0"/>
    <n v="0"/>
    <n v="0"/>
    <n v="0.09"/>
    <x v="1"/>
    <x v="3"/>
    <d v="2025-08-19T00:00:00"/>
    <x v="1"/>
    <s v="Clear, colorless, practically free of particles"/>
    <n v="0.878"/>
    <n v="6.05"/>
    <n v="76387"/>
    <n v="0.44"/>
    <n v="98.57"/>
    <n v="0.99"/>
    <n v="1380809"/>
    <n v="60.677810668945313"/>
    <n v="50.899547576904297"/>
    <n v="330"/>
  </r>
  <r>
    <s v="FD-004-003"/>
    <n v="4.7"/>
    <n v="6.1"/>
    <n v="0"/>
    <n v="10"/>
    <n v="50"/>
    <n v="0"/>
    <n v="0"/>
    <n v="0.09"/>
    <x v="2"/>
    <x v="3"/>
    <d v="2025-08-19T00:00:00"/>
    <x v="1"/>
    <s v="Clear, colorless, practically free of particles"/>
    <n v="0.878"/>
    <n v="6.06"/>
    <n v="76392"/>
    <n v="0.47"/>
    <n v="98.41"/>
    <n v="1.1100000000000001"/>
    <n v="1359544"/>
    <n v="60.654537200927734"/>
    <n v="56.935665130615234"/>
    <n v="327"/>
  </r>
  <r>
    <s v="FD-004-004"/>
    <n v="4.7"/>
    <n v="6.1"/>
    <n v="0"/>
    <n v="10"/>
    <n v="0"/>
    <n v="90"/>
    <n v="0"/>
    <n v="0.09"/>
    <x v="3"/>
    <x v="3"/>
    <d v="2025-08-19T00:00:00"/>
    <x v="1"/>
    <s v="Clear, colorless, practically free of particles"/>
    <n v="0.90100000000000002"/>
    <n v="6.06"/>
    <n v="76397"/>
    <n v="0.49"/>
    <n v="98.63"/>
    <n v="0.88"/>
    <n v="1376246"/>
    <n v="61.006732940673828"/>
    <n v="56.256198883056641"/>
    <n v="324"/>
  </r>
  <r>
    <s v="FD-004-005"/>
    <n v="4.7"/>
    <n v="6.1"/>
    <n v="20"/>
    <n v="45"/>
    <n v="0"/>
    <n v="0"/>
    <n v="0"/>
    <n v="0.09"/>
    <x v="4"/>
    <x v="3"/>
    <d v="2025-08-19T00:00:00"/>
    <x v="1"/>
    <s v="Clear, colorless, practically free of particles"/>
    <n v="1.028"/>
    <n v="6.07"/>
    <n v="76402"/>
    <n v="1.37"/>
    <n v="97.8"/>
    <n v="0.83"/>
    <n v="1626076"/>
    <n v="57.715007781982422"/>
    <n v="54.348690032958984"/>
    <n v="328"/>
  </r>
  <r>
    <s v="FD-004-006"/>
    <n v="4.7"/>
    <n v="6.1"/>
    <n v="10"/>
    <n v="10"/>
    <n v="35"/>
    <n v="0"/>
    <n v="0"/>
    <n v="0.09"/>
    <x v="5"/>
    <x v="3"/>
    <d v="2025-08-19T00:00:00"/>
    <x v="1"/>
    <s v="Clear, colorless, practically free of particles"/>
    <n v="1.0189999999999999"/>
    <n v="6.1"/>
    <n v="76407"/>
    <n v="1.39"/>
    <n v="97.59"/>
    <n v="1.03"/>
    <n v="1606692"/>
    <n v="59.050693511962891"/>
    <n v="54.836231231689453"/>
    <n v="328"/>
  </r>
  <r>
    <s v="FD-004-007"/>
    <n v="4.7"/>
    <n v="6.1"/>
    <n v="20"/>
    <n v="10"/>
    <n v="0"/>
    <n v="40"/>
    <n v="0"/>
    <n v="0.09"/>
    <x v="6"/>
    <x v="3"/>
    <d v="2025-08-19T00:00:00"/>
    <x v="1"/>
    <s v="Clear, colorless, practically free of particles"/>
    <n v="1.0149999999999999"/>
    <n v="6.08"/>
    <n v="76412"/>
    <n v="1.43"/>
    <n v="97.6"/>
    <n v="0.97"/>
    <n v="1606700"/>
    <n v="58.027717590332031"/>
    <n v="54.807151794433594"/>
    <n v="337"/>
  </r>
  <r>
    <s v="FD-004-008 A"/>
    <n v="4.7"/>
    <n v="6.1"/>
    <n v="0"/>
    <n v="20"/>
    <n v="0"/>
    <n v="0"/>
    <n v="0"/>
    <n v="0.09"/>
    <x v="0"/>
    <x v="1"/>
    <d v="2025-08-22T00:00:00"/>
    <x v="2"/>
    <m/>
    <m/>
    <m/>
    <n v="76980"/>
    <n v="0.6"/>
    <n v="98.23"/>
    <n v="1.17"/>
    <n v="1473605"/>
    <m/>
    <m/>
    <m/>
  </r>
  <r>
    <s v="FD-004-009 A"/>
    <n v="4.7"/>
    <n v="6.1"/>
    <n v="0"/>
    <n v="95"/>
    <n v="0"/>
    <n v="0"/>
    <n v="0"/>
    <n v="0.09"/>
    <x v="1"/>
    <x v="1"/>
    <d v="2025-08-22T00:00:00"/>
    <x v="2"/>
    <m/>
    <m/>
    <m/>
    <n v="76985"/>
    <n v="0.49"/>
    <n v="98.51"/>
    <n v="1"/>
    <n v="1307012"/>
    <m/>
    <m/>
    <m/>
  </r>
  <r>
    <s v="FD-004-010 A"/>
    <n v="4.7"/>
    <n v="6.1"/>
    <n v="0"/>
    <n v="10"/>
    <n v="50"/>
    <n v="0"/>
    <n v="0"/>
    <n v="0.09"/>
    <x v="2"/>
    <x v="1"/>
    <d v="2025-08-22T00:00:00"/>
    <x v="2"/>
    <m/>
    <m/>
    <m/>
    <n v="76990"/>
    <n v="0.7"/>
    <n v="98.07"/>
    <n v="1.23"/>
    <n v="1195045"/>
    <m/>
    <m/>
    <m/>
  </r>
  <r>
    <s v="FD-004-011 A"/>
    <n v="4.7"/>
    <n v="6.1"/>
    <n v="0"/>
    <n v="10"/>
    <n v="0"/>
    <n v="90"/>
    <n v="0"/>
    <n v="0.09"/>
    <x v="3"/>
    <x v="1"/>
    <d v="2025-08-22T00:00:00"/>
    <x v="2"/>
    <m/>
    <m/>
    <m/>
    <n v="76995"/>
    <n v="0.53"/>
    <n v="98.29"/>
    <n v="1.19"/>
    <n v="1319731"/>
    <m/>
    <m/>
    <m/>
  </r>
  <r>
    <s v="FD-004-012 A"/>
    <n v="4.7"/>
    <n v="6.1"/>
    <n v="20"/>
    <n v="45"/>
    <n v="0"/>
    <n v="0"/>
    <n v="0"/>
    <n v="0.09"/>
    <x v="4"/>
    <x v="1"/>
    <d v="2025-08-22T00:00:00"/>
    <x v="2"/>
    <m/>
    <m/>
    <m/>
    <n v="77000"/>
    <n v="1.4"/>
    <n v="97.67"/>
    <n v="0.92"/>
    <n v="1521371"/>
    <m/>
    <m/>
    <m/>
  </r>
  <r>
    <s v="FD-004-013 A"/>
    <n v="4.7"/>
    <n v="6.1"/>
    <n v="10"/>
    <n v="10"/>
    <n v="35"/>
    <n v="0"/>
    <n v="0"/>
    <n v="0.09"/>
    <x v="5"/>
    <x v="1"/>
    <d v="2025-08-22T00:00:00"/>
    <x v="2"/>
    <m/>
    <m/>
    <m/>
    <n v="77005"/>
    <n v="1.33"/>
    <n v="97.72"/>
    <n v="0.95"/>
    <n v="1512031"/>
    <m/>
    <m/>
    <m/>
  </r>
  <r>
    <s v="FD-004-014 A"/>
    <n v="4.7"/>
    <n v="6.1"/>
    <n v="20"/>
    <n v="10"/>
    <n v="0"/>
    <n v="40"/>
    <n v="0"/>
    <n v="0.09"/>
    <x v="6"/>
    <x v="1"/>
    <d v="2025-08-22T00:00:00"/>
    <x v="2"/>
    <m/>
    <m/>
    <m/>
    <n v="77010"/>
    <n v="1.49"/>
    <n v="97.58"/>
    <n v="0.94"/>
    <n v="1526701"/>
    <m/>
    <m/>
    <m/>
  </r>
  <r>
    <s v="FD-004-015 A"/>
    <n v="4.7"/>
    <n v="6.1"/>
    <n v="0"/>
    <n v="20"/>
    <n v="0"/>
    <n v="0"/>
    <n v="0"/>
    <n v="0.09"/>
    <x v="0"/>
    <x v="2"/>
    <d v="2025-08-22T00:00:00"/>
    <x v="2"/>
    <m/>
    <m/>
    <m/>
    <n v="77025"/>
    <n v="0.94"/>
    <n v="97.83"/>
    <n v="1.23"/>
    <n v="1473810"/>
    <m/>
    <m/>
    <m/>
  </r>
  <r>
    <s v="FD-004-016 A"/>
    <n v="4.7"/>
    <n v="6.1"/>
    <n v="0"/>
    <n v="95"/>
    <n v="0"/>
    <n v="0"/>
    <n v="0"/>
    <n v="0.09"/>
    <x v="1"/>
    <x v="2"/>
    <d v="2025-08-22T00:00:00"/>
    <x v="2"/>
    <m/>
    <m/>
    <m/>
    <n v="77030"/>
    <n v="0.8"/>
    <n v="97.95"/>
    <n v="1.25"/>
    <n v="1318518"/>
    <m/>
    <m/>
    <m/>
  </r>
  <r>
    <s v="FD-004-017 A"/>
    <n v="4.7"/>
    <n v="6.1"/>
    <n v="0"/>
    <n v="10"/>
    <n v="50"/>
    <n v="0"/>
    <n v="0"/>
    <n v="0.09"/>
    <x v="2"/>
    <x v="2"/>
    <d v="2025-08-22T00:00:00"/>
    <x v="2"/>
    <m/>
    <m/>
    <m/>
    <n v="77035"/>
    <n v="0.91"/>
    <n v="97.61"/>
    <n v="1.48"/>
    <n v="1269525"/>
    <m/>
    <m/>
    <m/>
  </r>
  <r>
    <s v="FD-004-018 A"/>
    <n v="4.7"/>
    <n v="6.1"/>
    <n v="0"/>
    <n v="10"/>
    <n v="0"/>
    <n v="90"/>
    <n v="0"/>
    <n v="0.09"/>
    <x v="3"/>
    <x v="2"/>
    <d v="2025-08-22T00:00:00"/>
    <x v="2"/>
    <m/>
    <m/>
    <m/>
    <n v="77040"/>
    <n v="0.82"/>
    <n v="97.83"/>
    <n v="1.35"/>
    <n v="1321263"/>
    <m/>
    <m/>
    <m/>
  </r>
  <r>
    <s v="FD-004-019 A"/>
    <n v="4.7"/>
    <n v="6.1"/>
    <n v="20"/>
    <n v="45"/>
    <n v="0"/>
    <n v="0"/>
    <n v="0"/>
    <n v="0.09"/>
    <x v="4"/>
    <x v="2"/>
    <d v="2025-08-22T00:00:00"/>
    <x v="2"/>
    <m/>
    <m/>
    <m/>
    <n v="77045"/>
    <n v="2.63"/>
    <n v="96.32"/>
    <n v="1.05"/>
    <n v="1528558"/>
    <m/>
    <m/>
    <m/>
  </r>
  <r>
    <s v="FD-004-020 A"/>
    <n v="4.7"/>
    <n v="6.1"/>
    <n v="10"/>
    <n v="10"/>
    <n v="35"/>
    <n v="0"/>
    <n v="0"/>
    <n v="0.09"/>
    <x v="5"/>
    <x v="2"/>
    <d v="2025-08-22T00:00:00"/>
    <x v="2"/>
    <m/>
    <m/>
    <m/>
    <n v="77050"/>
    <n v="2.67"/>
    <n v="96.25"/>
    <n v="1.08"/>
    <n v="1506852"/>
    <m/>
    <m/>
    <m/>
  </r>
  <r>
    <s v="FD-004-021 A"/>
    <n v="4.7"/>
    <n v="6.1"/>
    <n v="20"/>
    <n v="10"/>
    <n v="0"/>
    <n v="40"/>
    <n v="0"/>
    <n v="0.09"/>
    <x v="6"/>
    <x v="2"/>
    <d v="2025-08-22T00:00:00"/>
    <x v="2"/>
    <m/>
    <m/>
    <m/>
    <n v="77055"/>
    <n v="2.73"/>
    <n v="96.21"/>
    <n v="1.06"/>
    <n v="1535337"/>
    <m/>
    <m/>
    <m/>
  </r>
  <r>
    <s v="FD-004-008"/>
    <n v="4.7"/>
    <n v="6.1"/>
    <n v="0"/>
    <n v="20"/>
    <n v="0"/>
    <n v="0"/>
    <n v="0"/>
    <n v="0.09"/>
    <x v="0"/>
    <x v="1"/>
    <d v="2025-08-25T00:00:00"/>
    <x v="3"/>
    <s v="Clear, colorless, practically free of particles"/>
    <n v="1.0309999999999999"/>
    <n v="6.07"/>
    <n v="77414"/>
    <n v="0.6"/>
    <n v="98.31"/>
    <n v="1.0900000000000001"/>
    <n v="1471979"/>
    <m/>
    <m/>
    <m/>
  </r>
  <r>
    <s v="FD-004-009"/>
    <n v="4.7"/>
    <n v="6.1"/>
    <n v="0"/>
    <n v="95"/>
    <n v="0"/>
    <n v="0"/>
    <n v="0"/>
    <n v="0.09"/>
    <x v="1"/>
    <x v="1"/>
    <d v="2025-08-25T00:00:00"/>
    <x v="3"/>
    <s v="Clear, colorless, practically free of particles"/>
    <n v="0.93400000000000005"/>
    <n v="6.04"/>
    <n v="77419"/>
    <n v="0.55000000000000004"/>
    <n v="98.35"/>
    <n v="1.1000000000000001"/>
    <n v="1289118"/>
    <m/>
    <m/>
    <m/>
  </r>
  <r>
    <s v="FD-004-010"/>
    <n v="4.7"/>
    <n v="6.1"/>
    <n v="0"/>
    <n v="10"/>
    <n v="50"/>
    <n v="0"/>
    <n v="0"/>
    <n v="0.09"/>
    <x v="2"/>
    <x v="1"/>
    <d v="2025-08-25T00:00:00"/>
    <x v="3"/>
    <s v="Clear, colorless, practically free of particles"/>
    <n v="0.877"/>
    <n v="6.05"/>
    <n v="77424"/>
    <n v="0.65"/>
    <n v="98.2"/>
    <n v="1.1499999999999999"/>
    <n v="1227253"/>
    <m/>
    <m/>
    <m/>
  </r>
  <r>
    <s v="FD-004-011"/>
    <n v="4.7"/>
    <n v="6.1"/>
    <n v="0"/>
    <n v="10"/>
    <n v="0"/>
    <n v="90"/>
    <n v="0"/>
    <n v="0.09"/>
    <x v="3"/>
    <x v="1"/>
    <d v="2025-08-25T00:00:00"/>
    <x v="3"/>
    <s v="Clear, colorless, practically free of particles"/>
    <n v="0.92600000000000005"/>
    <n v="6.02"/>
    <n v="77429"/>
    <n v="0.61"/>
    <n v="98.31"/>
    <n v="1.08"/>
    <n v="1313820"/>
    <m/>
    <m/>
    <m/>
  </r>
  <r>
    <s v="FD-004-012"/>
    <n v="4.7"/>
    <n v="6.1"/>
    <n v="20"/>
    <n v="45"/>
    <n v="0"/>
    <n v="0"/>
    <n v="0"/>
    <n v="0.09"/>
    <x v="4"/>
    <x v="1"/>
    <d v="2025-08-25T00:00:00"/>
    <x v="3"/>
    <s v="Clear, colorless, practically free of particles"/>
    <n v="1.0449999999999999"/>
    <n v="6.06"/>
    <n v="77434"/>
    <n v="1.63"/>
    <n v="97.49"/>
    <n v="0.87"/>
    <n v="1520347"/>
    <m/>
    <m/>
    <m/>
  </r>
  <r>
    <s v="FD-004-013"/>
    <n v="4.7"/>
    <n v="6.1"/>
    <n v="10"/>
    <n v="10"/>
    <n v="35"/>
    <n v="0"/>
    <n v="0"/>
    <n v="0.09"/>
    <x v="5"/>
    <x v="1"/>
    <d v="2025-08-25T00:00:00"/>
    <x v="3"/>
    <s v="Clear, colorless, one ~ 2 mm white fiber"/>
    <n v="1.0549999999999999"/>
    <n v="6.06"/>
    <n v="77439"/>
    <n v="1.47"/>
    <n v="97.65"/>
    <n v="0.88"/>
    <n v="1502412"/>
    <m/>
    <m/>
    <m/>
  </r>
  <r>
    <s v="FD-004-014"/>
    <n v="4.7"/>
    <n v="6.1"/>
    <n v="20"/>
    <n v="10"/>
    <n v="0"/>
    <n v="40"/>
    <n v="0"/>
    <n v="0.09"/>
    <x v="6"/>
    <x v="1"/>
    <d v="2025-08-25T00:00:00"/>
    <x v="3"/>
    <s v="Clear, colorless, practically free of particles"/>
    <n v="1.0449999999999999"/>
    <n v="6.05"/>
    <n v="77444"/>
    <n v="1.67"/>
    <n v="97.44"/>
    <n v="0.89"/>
    <n v="1522983"/>
    <m/>
    <m/>
    <m/>
  </r>
  <r>
    <s v="FD-004-015"/>
    <n v="4.7"/>
    <n v="6.1"/>
    <n v="0"/>
    <n v="20"/>
    <n v="0"/>
    <n v="0"/>
    <n v="0"/>
    <n v="0.09"/>
    <x v="0"/>
    <x v="2"/>
    <d v="2025-08-25T00:00:00"/>
    <x v="3"/>
    <s v="Clear, colorless, practically free of particles"/>
    <n v="1.0329999999999999"/>
    <n v="6.1"/>
    <n v="77459"/>
    <n v="0.87"/>
    <n v="97.72"/>
    <n v="1.41"/>
    <n v="1475449"/>
    <m/>
    <m/>
    <m/>
  </r>
  <r>
    <s v="FD-004-016"/>
    <n v="4.7"/>
    <n v="6.1"/>
    <n v="0"/>
    <n v="95"/>
    <n v="0"/>
    <n v="0"/>
    <n v="0"/>
    <n v="0.09"/>
    <x v="1"/>
    <x v="2"/>
    <d v="2025-08-25T00:00:00"/>
    <x v="3"/>
    <s v="Clear, colorless, practically free of particles"/>
    <n v="0.93700000000000006"/>
    <n v="6.05"/>
    <n v="77464"/>
    <n v="0.76"/>
    <n v="97.79"/>
    <n v="1.45"/>
    <n v="1306494"/>
    <m/>
    <m/>
    <m/>
  </r>
  <r>
    <s v="FD-004-017"/>
    <n v="4.7"/>
    <n v="6.1"/>
    <n v="0"/>
    <n v="10"/>
    <n v="50"/>
    <n v="0"/>
    <n v="0"/>
    <n v="0.09"/>
    <x v="2"/>
    <x v="2"/>
    <d v="2025-08-25T00:00:00"/>
    <x v="3"/>
    <s v="Clear, colorless, practically free of particles"/>
    <n v="0.90100000000000002"/>
    <n v="6.06"/>
    <n v="77469"/>
    <n v="0.96"/>
    <n v="97.47"/>
    <n v="1.57"/>
    <n v="1261975"/>
    <m/>
    <m/>
    <m/>
  </r>
  <r>
    <s v="FD-004-018"/>
    <n v="4.7"/>
    <n v="6.1"/>
    <n v="0"/>
    <n v="10"/>
    <n v="0"/>
    <n v="90"/>
    <n v="0"/>
    <n v="0.09"/>
    <x v="3"/>
    <x v="2"/>
    <d v="2025-08-25T00:00:00"/>
    <x v="3"/>
    <s v="Clear, colorless, practically free of particles"/>
    <n v="0.92200000000000004"/>
    <n v="6.05"/>
    <n v="77474"/>
    <n v="0.83"/>
    <n v="97.68"/>
    <n v="1.49"/>
    <n v="1313048"/>
    <m/>
    <m/>
    <m/>
  </r>
  <r>
    <s v="FD-004-019"/>
    <n v="4.7"/>
    <n v="6.1"/>
    <n v="20"/>
    <n v="45"/>
    <n v="0"/>
    <n v="0"/>
    <n v="0"/>
    <n v="0.09"/>
    <x v="4"/>
    <x v="2"/>
    <d v="2025-08-25T00:00:00"/>
    <x v="3"/>
    <s v="Clear, colorless, practically free of particles"/>
    <n v="1.05"/>
    <n v="6.04"/>
    <n v="77479"/>
    <n v="2.83"/>
    <n v="95.96"/>
    <n v="1.21"/>
    <n v="1526909"/>
    <m/>
    <m/>
    <m/>
  </r>
  <r>
    <s v="FD-004-020"/>
    <n v="4.7"/>
    <n v="6.1"/>
    <n v="10"/>
    <n v="10"/>
    <n v="35"/>
    <n v="0"/>
    <n v="0"/>
    <n v="0.09"/>
    <x v="5"/>
    <x v="2"/>
    <d v="2025-08-25T00:00:00"/>
    <x v="3"/>
    <s v="Clear, colorless, practically free of particles"/>
    <n v="1.08"/>
    <n v="6.07"/>
    <n v="77484"/>
    <n v="2.81"/>
    <n v="95.96"/>
    <n v="1.23"/>
    <n v="1506464"/>
    <m/>
    <m/>
    <m/>
  </r>
  <r>
    <s v="FD-004-021"/>
    <n v="4.7"/>
    <n v="6.1"/>
    <n v="20"/>
    <n v="10"/>
    <n v="0"/>
    <n v="40"/>
    <n v="0"/>
    <n v="0.09"/>
    <x v="6"/>
    <x v="2"/>
    <d v="2025-08-25T00:00:00"/>
    <x v="3"/>
    <s v="Clear, colorless, practically free of particles"/>
    <n v="1.052"/>
    <n v="6.03"/>
    <n v="77489"/>
    <n v="2.85"/>
    <n v="95.96"/>
    <n v="1.19"/>
    <n v="1522978"/>
    <m/>
    <m/>
    <m/>
  </r>
  <r>
    <s v="FD-004-022"/>
    <n v="4.7"/>
    <n v="6.1"/>
    <n v="0"/>
    <n v="20"/>
    <n v="0"/>
    <n v="0"/>
    <n v="0"/>
    <n v="0.09"/>
    <x v="0"/>
    <x v="1"/>
    <m/>
    <x v="4"/>
    <m/>
    <m/>
    <m/>
    <m/>
    <m/>
    <m/>
    <m/>
    <m/>
    <m/>
    <m/>
    <m/>
  </r>
  <r>
    <s v="FD-004-023"/>
    <n v="4.7"/>
    <n v="6.1"/>
    <n v="0"/>
    <n v="95"/>
    <n v="0"/>
    <n v="0"/>
    <n v="0"/>
    <n v="0.09"/>
    <x v="1"/>
    <x v="1"/>
    <m/>
    <x v="4"/>
    <m/>
    <m/>
    <m/>
    <m/>
    <m/>
    <m/>
    <m/>
    <m/>
    <m/>
    <m/>
    <m/>
  </r>
  <r>
    <s v="FD-004-024"/>
    <n v="4.7"/>
    <n v="6.1"/>
    <n v="0"/>
    <n v="10"/>
    <n v="50"/>
    <n v="0"/>
    <n v="0"/>
    <n v="0.09"/>
    <x v="2"/>
    <x v="1"/>
    <m/>
    <x v="4"/>
    <m/>
    <m/>
    <m/>
    <m/>
    <m/>
    <m/>
    <m/>
    <m/>
    <m/>
    <m/>
    <m/>
  </r>
  <r>
    <s v="FD-004-025"/>
    <n v="4.7"/>
    <n v="6.1"/>
    <n v="0"/>
    <n v="10"/>
    <n v="0"/>
    <n v="90"/>
    <n v="0"/>
    <n v="0.09"/>
    <x v="3"/>
    <x v="1"/>
    <m/>
    <x v="4"/>
    <m/>
    <m/>
    <m/>
    <m/>
    <m/>
    <m/>
    <m/>
    <m/>
    <m/>
    <m/>
    <m/>
  </r>
  <r>
    <s v="FD-004-026"/>
    <n v="4.7"/>
    <n v="6.1"/>
    <n v="20"/>
    <n v="45"/>
    <n v="0"/>
    <n v="0"/>
    <n v="0"/>
    <n v="0.09"/>
    <x v="4"/>
    <x v="1"/>
    <m/>
    <x v="4"/>
    <m/>
    <m/>
    <m/>
    <m/>
    <m/>
    <m/>
    <m/>
    <m/>
    <m/>
    <m/>
    <m/>
  </r>
  <r>
    <s v="FD-004-027"/>
    <n v="4.7"/>
    <n v="6.1"/>
    <n v="10"/>
    <n v="10"/>
    <n v="35"/>
    <n v="0"/>
    <n v="0"/>
    <n v="0.09"/>
    <x v="5"/>
    <x v="1"/>
    <m/>
    <x v="4"/>
    <m/>
    <m/>
    <m/>
    <m/>
    <m/>
    <m/>
    <m/>
    <m/>
    <m/>
    <m/>
    <m/>
  </r>
  <r>
    <s v="FD-004-028"/>
    <n v="4.7"/>
    <n v="6.1"/>
    <n v="20"/>
    <n v="10"/>
    <n v="0"/>
    <n v="40"/>
    <n v="0"/>
    <n v="0.09"/>
    <x v="6"/>
    <x v="1"/>
    <m/>
    <x v="4"/>
    <m/>
    <m/>
    <m/>
    <m/>
    <m/>
    <m/>
    <m/>
    <m/>
    <m/>
    <m/>
    <m/>
  </r>
  <r>
    <s v="FD-004-029"/>
    <n v="4.7"/>
    <n v="6.1"/>
    <n v="0"/>
    <n v="20"/>
    <n v="0"/>
    <n v="0"/>
    <n v="0"/>
    <n v="0.09"/>
    <x v="0"/>
    <x v="2"/>
    <m/>
    <x v="4"/>
    <m/>
    <m/>
    <m/>
    <m/>
    <m/>
    <m/>
    <m/>
    <m/>
    <m/>
    <m/>
    <m/>
  </r>
  <r>
    <s v="FD-004-030"/>
    <n v="4.7"/>
    <n v="6.1"/>
    <n v="0"/>
    <n v="95"/>
    <n v="0"/>
    <n v="0"/>
    <n v="0"/>
    <n v="0.09"/>
    <x v="1"/>
    <x v="2"/>
    <m/>
    <x v="4"/>
    <m/>
    <m/>
    <m/>
    <m/>
    <m/>
    <m/>
    <m/>
    <m/>
    <m/>
    <m/>
    <m/>
  </r>
  <r>
    <s v="FD-004-031"/>
    <n v="4.7"/>
    <n v="6.1"/>
    <n v="0"/>
    <n v="10"/>
    <n v="50"/>
    <n v="0"/>
    <n v="0"/>
    <n v="0.09"/>
    <x v="2"/>
    <x v="2"/>
    <m/>
    <x v="4"/>
    <m/>
    <m/>
    <m/>
    <m/>
    <m/>
    <m/>
    <m/>
    <m/>
    <m/>
    <m/>
    <m/>
  </r>
  <r>
    <s v="FD-004-032"/>
    <n v="4.7"/>
    <n v="6.1"/>
    <n v="0"/>
    <n v="10"/>
    <n v="0"/>
    <n v="90"/>
    <n v="0"/>
    <n v="0.09"/>
    <x v="3"/>
    <x v="2"/>
    <m/>
    <x v="4"/>
    <m/>
    <m/>
    <m/>
    <m/>
    <m/>
    <m/>
    <m/>
    <m/>
    <m/>
    <m/>
    <m/>
  </r>
  <r>
    <s v="FD-004-033"/>
    <n v="4.7"/>
    <n v="6.1"/>
    <n v="20"/>
    <n v="45"/>
    <n v="0"/>
    <n v="0"/>
    <n v="0"/>
    <n v="0.09"/>
    <x v="4"/>
    <x v="2"/>
    <m/>
    <x v="4"/>
    <m/>
    <m/>
    <m/>
    <m/>
    <m/>
    <m/>
    <m/>
    <m/>
    <m/>
    <m/>
    <m/>
  </r>
  <r>
    <s v="FD-004-034"/>
    <n v="4.7"/>
    <n v="6.1"/>
    <n v="10"/>
    <n v="10"/>
    <n v="35"/>
    <n v="0"/>
    <n v="0"/>
    <n v="0.09"/>
    <x v="5"/>
    <x v="2"/>
    <m/>
    <x v="4"/>
    <m/>
    <m/>
    <m/>
    <m/>
    <m/>
    <m/>
    <m/>
    <m/>
    <m/>
    <m/>
    <m/>
  </r>
  <r>
    <s v="FD-004-035"/>
    <n v="4.7"/>
    <n v="6.1"/>
    <n v="20"/>
    <n v="10"/>
    <n v="0"/>
    <n v="40"/>
    <n v="0"/>
    <n v="0.09"/>
    <x v="6"/>
    <x v="2"/>
    <m/>
    <x v="4"/>
    <m/>
    <m/>
    <m/>
    <m/>
    <m/>
    <m/>
    <m/>
    <m/>
    <m/>
    <m/>
    <m/>
  </r>
  <r>
    <s v="FD-004-036"/>
    <n v="4.7"/>
    <n v="6.1"/>
    <n v="0"/>
    <n v="20"/>
    <n v="0"/>
    <n v="0"/>
    <n v="0"/>
    <n v="0.09"/>
    <x v="0"/>
    <x v="1"/>
    <m/>
    <x v="5"/>
    <m/>
    <m/>
    <m/>
    <m/>
    <m/>
    <m/>
    <m/>
    <m/>
    <m/>
    <m/>
    <m/>
  </r>
  <r>
    <s v="FD-004-037"/>
    <n v="4.7"/>
    <n v="6.1"/>
    <n v="0"/>
    <n v="95"/>
    <n v="0"/>
    <n v="0"/>
    <n v="0"/>
    <n v="0.09"/>
    <x v="1"/>
    <x v="1"/>
    <m/>
    <x v="5"/>
    <m/>
    <m/>
    <m/>
    <m/>
    <m/>
    <m/>
    <m/>
    <m/>
    <m/>
    <m/>
    <m/>
  </r>
  <r>
    <s v="FD-004-038"/>
    <n v="4.7"/>
    <n v="6.1"/>
    <n v="0"/>
    <n v="10"/>
    <n v="50"/>
    <n v="0"/>
    <n v="0"/>
    <n v="0.09"/>
    <x v="2"/>
    <x v="1"/>
    <m/>
    <x v="5"/>
    <m/>
    <m/>
    <m/>
    <m/>
    <m/>
    <m/>
    <m/>
    <m/>
    <m/>
    <m/>
    <m/>
  </r>
  <r>
    <s v="FD-004-039"/>
    <n v="4.7"/>
    <n v="6.1"/>
    <n v="0"/>
    <n v="10"/>
    <n v="0"/>
    <n v="90"/>
    <n v="0"/>
    <n v="0.09"/>
    <x v="3"/>
    <x v="1"/>
    <m/>
    <x v="5"/>
    <m/>
    <m/>
    <m/>
    <m/>
    <m/>
    <m/>
    <m/>
    <m/>
    <m/>
    <m/>
    <m/>
  </r>
  <r>
    <s v="FD-004-040"/>
    <n v="4.7"/>
    <n v="6.1"/>
    <n v="20"/>
    <n v="45"/>
    <n v="0"/>
    <n v="0"/>
    <n v="0"/>
    <n v="0.09"/>
    <x v="4"/>
    <x v="1"/>
    <m/>
    <x v="5"/>
    <m/>
    <m/>
    <m/>
    <m/>
    <m/>
    <m/>
    <m/>
    <m/>
    <m/>
    <m/>
    <m/>
  </r>
  <r>
    <s v="FD-004-041"/>
    <n v="4.7"/>
    <n v="6.1"/>
    <n v="10"/>
    <n v="10"/>
    <n v="35"/>
    <n v="0"/>
    <n v="0"/>
    <n v="0.09"/>
    <x v="5"/>
    <x v="1"/>
    <m/>
    <x v="5"/>
    <m/>
    <m/>
    <m/>
    <m/>
    <m/>
    <m/>
    <m/>
    <m/>
    <m/>
    <m/>
    <m/>
  </r>
  <r>
    <s v="FD-004-042"/>
    <n v="4.7"/>
    <n v="6.1"/>
    <n v="20"/>
    <n v="10"/>
    <n v="0"/>
    <n v="40"/>
    <n v="0"/>
    <n v="0.09"/>
    <x v="6"/>
    <x v="1"/>
    <m/>
    <x v="5"/>
    <m/>
    <m/>
    <m/>
    <m/>
    <m/>
    <m/>
    <m/>
    <m/>
    <m/>
    <m/>
    <m/>
  </r>
  <r>
    <s v="FD-004-043"/>
    <n v="4.7"/>
    <n v="6.1"/>
    <n v="0"/>
    <n v="20"/>
    <n v="0"/>
    <n v="0"/>
    <n v="0"/>
    <n v="0.09"/>
    <x v="0"/>
    <x v="3"/>
    <m/>
    <x v="6"/>
    <m/>
    <m/>
    <m/>
    <m/>
    <m/>
    <m/>
    <m/>
    <m/>
    <m/>
    <m/>
    <m/>
  </r>
  <r>
    <s v="FD-004-044"/>
    <n v="4.7"/>
    <n v="6.1"/>
    <n v="0"/>
    <n v="95"/>
    <n v="0"/>
    <n v="0"/>
    <n v="0"/>
    <n v="0.09"/>
    <x v="1"/>
    <x v="3"/>
    <m/>
    <x v="6"/>
    <m/>
    <m/>
    <m/>
    <m/>
    <m/>
    <m/>
    <m/>
    <m/>
    <m/>
    <m/>
    <m/>
  </r>
  <r>
    <s v="FD-004-045"/>
    <n v="4.7"/>
    <n v="6.1"/>
    <n v="0"/>
    <n v="10"/>
    <n v="50"/>
    <n v="0"/>
    <n v="0"/>
    <n v="0.09"/>
    <x v="2"/>
    <x v="3"/>
    <m/>
    <x v="6"/>
    <m/>
    <m/>
    <m/>
    <m/>
    <m/>
    <m/>
    <m/>
    <m/>
    <m/>
    <m/>
    <m/>
  </r>
  <r>
    <s v="FD-004-046"/>
    <n v="4.7"/>
    <n v="6.1"/>
    <n v="0"/>
    <n v="10"/>
    <n v="0"/>
    <n v="90"/>
    <n v="0"/>
    <n v="0.09"/>
    <x v="3"/>
    <x v="3"/>
    <m/>
    <x v="6"/>
    <m/>
    <m/>
    <m/>
    <m/>
    <m/>
    <m/>
    <m/>
    <m/>
    <m/>
    <m/>
    <m/>
  </r>
  <r>
    <s v="FD-004-047"/>
    <n v="4.7"/>
    <n v="6.1"/>
    <n v="20"/>
    <n v="45"/>
    <n v="0"/>
    <n v="0"/>
    <n v="0"/>
    <n v="0.09"/>
    <x v="4"/>
    <x v="3"/>
    <m/>
    <x v="6"/>
    <m/>
    <m/>
    <m/>
    <m/>
    <m/>
    <m/>
    <m/>
    <m/>
    <m/>
    <m/>
    <m/>
  </r>
  <r>
    <s v="FD-004-048"/>
    <n v="4.7"/>
    <n v="6.1"/>
    <n v="10"/>
    <n v="10"/>
    <n v="35"/>
    <n v="0"/>
    <n v="0"/>
    <n v="0.09"/>
    <x v="5"/>
    <x v="3"/>
    <m/>
    <x v="6"/>
    <m/>
    <m/>
    <m/>
    <m/>
    <m/>
    <m/>
    <m/>
    <m/>
    <m/>
    <m/>
    <m/>
  </r>
  <r>
    <s v="FD-004-049"/>
    <n v="4.7"/>
    <n v="6.1"/>
    <n v="20"/>
    <n v="10"/>
    <n v="0"/>
    <n v="40"/>
    <n v="0"/>
    <n v="0.09"/>
    <x v="6"/>
    <x v="3"/>
    <m/>
    <x v="6"/>
    <m/>
    <m/>
    <m/>
    <m/>
    <m/>
    <m/>
    <m/>
    <m/>
    <m/>
    <m/>
    <m/>
  </r>
  <r>
    <s v="FD-004-050"/>
    <n v="4.7"/>
    <n v="6.1"/>
    <n v="0"/>
    <n v="20"/>
    <n v="0"/>
    <n v="0"/>
    <n v="0"/>
    <n v="0.09"/>
    <x v="0"/>
    <x v="0"/>
    <m/>
    <x v="7"/>
    <m/>
    <m/>
    <m/>
    <m/>
    <m/>
    <m/>
    <m/>
    <m/>
    <m/>
    <m/>
    <m/>
  </r>
  <r>
    <s v="FD-004-051"/>
    <n v="4.7"/>
    <n v="6.1"/>
    <n v="0"/>
    <n v="95"/>
    <n v="0"/>
    <n v="0"/>
    <n v="0"/>
    <n v="0.09"/>
    <x v="1"/>
    <x v="0"/>
    <m/>
    <x v="7"/>
    <m/>
    <m/>
    <m/>
    <m/>
    <m/>
    <m/>
    <m/>
    <m/>
    <m/>
    <m/>
    <m/>
  </r>
  <r>
    <s v="FD-004-052"/>
    <n v="4.7"/>
    <n v="6.1"/>
    <n v="0"/>
    <n v="10"/>
    <n v="50"/>
    <n v="0"/>
    <n v="0"/>
    <n v="0.09"/>
    <x v="2"/>
    <x v="0"/>
    <m/>
    <x v="7"/>
    <m/>
    <m/>
    <m/>
    <m/>
    <m/>
    <m/>
    <m/>
    <m/>
    <m/>
    <m/>
    <m/>
  </r>
  <r>
    <s v="FD-004-053"/>
    <n v="4.7"/>
    <n v="6.1"/>
    <n v="0"/>
    <n v="10"/>
    <n v="0"/>
    <n v="90"/>
    <n v="0"/>
    <n v="0.09"/>
    <x v="3"/>
    <x v="0"/>
    <m/>
    <x v="7"/>
    <m/>
    <m/>
    <m/>
    <m/>
    <m/>
    <m/>
    <m/>
    <m/>
    <m/>
    <m/>
    <m/>
  </r>
  <r>
    <s v="FD-004-054"/>
    <n v="4.7"/>
    <n v="6.1"/>
    <n v="20"/>
    <n v="45"/>
    <n v="0"/>
    <n v="0"/>
    <n v="0"/>
    <n v="0.09"/>
    <x v="4"/>
    <x v="0"/>
    <m/>
    <x v="7"/>
    <m/>
    <m/>
    <m/>
    <m/>
    <m/>
    <m/>
    <m/>
    <m/>
    <m/>
    <m/>
    <m/>
  </r>
  <r>
    <s v="FD-004-055"/>
    <n v="4.7"/>
    <n v="6.1"/>
    <n v="10"/>
    <n v="10"/>
    <n v="35"/>
    <n v="0"/>
    <n v="0"/>
    <n v="0.09"/>
    <x v="5"/>
    <x v="0"/>
    <m/>
    <x v="7"/>
    <m/>
    <m/>
    <m/>
    <m/>
    <m/>
    <m/>
    <m/>
    <m/>
    <m/>
    <m/>
    <m/>
  </r>
  <r>
    <s v="FD-004-056"/>
    <n v="4.7"/>
    <n v="6.1"/>
    <n v="20"/>
    <n v="10"/>
    <n v="0"/>
    <n v="40"/>
    <n v="0"/>
    <n v="0.09"/>
    <x v="6"/>
    <x v="0"/>
    <m/>
    <x v="7"/>
    <m/>
    <m/>
    <m/>
    <m/>
    <m/>
    <m/>
    <m/>
    <m/>
    <m/>
    <m/>
    <m/>
  </r>
  <r>
    <s v="FD-004-057"/>
    <n v="4.7"/>
    <n v="6.1"/>
    <n v="0"/>
    <n v="20"/>
    <n v="0"/>
    <n v="0"/>
    <n v="0"/>
    <n v="0.09"/>
    <x v="0"/>
    <x v="0"/>
    <m/>
    <x v="8"/>
    <m/>
    <m/>
    <m/>
    <m/>
    <m/>
    <m/>
    <m/>
    <m/>
    <m/>
    <m/>
    <m/>
  </r>
  <r>
    <s v="FD-004-058"/>
    <n v="4.7"/>
    <n v="6.1"/>
    <n v="0"/>
    <n v="95"/>
    <n v="0"/>
    <n v="0"/>
    <n v="0"/>
    <n v="0.09"/>
    <x v="1"/>
    <x v="0"/>
    <m/>
    <x v="8"/>
    <m/>
    <m/>
    <m/>
    <m/>
    <m/>
    <m/>
    <m/>
    <m/>
    <m/>
    <m/>
    <m/>
  </r>
  <r>
    <s v="FD-004-059"/>
    <n v="4.7"/>
    <n v="6.1"/>
    <n v="0"/>
    <n v="10"/>
    <n v="50"/>
    <n v="0"/>
    <n v="0"/>
    <n v="0.09"/>
    <x v="2"/>
    <x v="0"/>
    <m/>
    <x v="8"/>
    <m/>
    <m/>
    <m/>
    <m/>
    <m/>
    <m/>
    <m/>
    <m/>
    <m/>
    <m/>
    <m/>
  </r>
  <r>
    <s v="FD-004-060"/>
    <n v="4.7"/>
    <n v="6.1"/>
    <n v="0"/>
    <n v="10"/>
    <n v="0"/>
    <n v="90"/>
    <n v="0"/>
    <n v="0.09"/>
    <x v="3"/>
    <x v="0"/>
    <m/>
    <x v="8"/>
    <m/>
    <m/>
    <m/>
    <m/>
    <m/>
    <m/>
    <m/>
    <m/>
    <m/>
    <m/>
    <m/>
  </r>
  <r>
    <s v="FD-004-061"/>
    <n v="4.7"/>
    <n v="6.1"/>
    <n v="20"/>
    <n v="45"/>
    <n v="0"/>
    <n v="0"/>
    <n v="0"/>
    <n v="0.09"/>
    <x v="4"/>
    <x v="0"/>
    <m/>
    <x v="8"/>
    <m/>
    <m/>
    <m/>
    <m/>
    <m/>
    <m/>
    <m/>
    <m/>
    <m/>
    <m/>
    <m/>
  </r>
  <r>
    <s v="FD-004-062"/>
    <n v="4.7"/>
    <n v="6.1"/>
    <n v="10"/>
    <n v="10"/>
    <n v="35"/>
    <n v="0"/>
    <n v="0"/>
    <n v="0.09"/>
    <x v="5"/>
    <x v="0"/>
    <m/>
    <x v="8"/>
    <m/>
    <m/>
    <m/>
    <m/>
    <m/>
    <m/>
    <m/>
    <m/>
    <m/>
    <m/>
    <m/>
  </r>
  <r>
    <s v="FD-004-063"/>
    <n v="4.7"/>
    <n v="6.1"/>
    <n v="20"/>
    <n v="10"/>
    <n v="0"/>
    <n v="40"/>
    <n v="0"/>
    <n v="0.09"/>
    <x v="6"/>
    <x v="0"/>
    <m/>
    <x v="8"/>
    <m/>
    <m/>
    <m/>
    <m/>
    <m/>
    <m/>
    <m/>
    <m/>
    <m/>
    <m/>
    <m/>
  </r>
  <r>
    <s v="FD-004-064"/>
    <n v="4.7"/>
    <n v="6.1"/>
    <n v="0"/>
    <n v="20"/>
    <n v="0"/>
    <n v="0"/>
    <n v="0"/>
    <n v="0.09"/>
    <x v="0"/>
    <x v="0"/>
    <m/>
    <x v="9"/>
    <m/>
    <m/>
    <m/>
    <m/>
    <m/>
    <m/>
    <m/>
    <m/>
    <m/>
    <m/>
    <m/>
  </r>
  <r>
    <s v="FD-004-065"/>
    <n v="4.7"/>
    <n v="6.1"/>
    <n v="0"/>
    <n v="95"/>
    <n v="0"/>
    <n v="0"/>
    <n v="0"/>
    <n v="0.09"/>
    <x v="1"/>
    <x v="0"/>
    <m/>
    <x v="9"/>
    <m/>
    <m/>
    <m/>
    <m/>
    <m/>
    <m/>
    <m/>
    <m/>
    <m/>
    <m/>
    <m/>
  </r>
  <r>
    <s v="FD-004-066"/>
    <n v="4.7"/>
    <n v="6.1"/>
    <n v="0"/>
    <n v="10"/>
    <n v="50"/>
    <n v="0"/>
    <n v="0"/>
    <n v="0.09"/>
    <x v="2"/>
    <x v="0"/>
    <m/>
    <x v="9"/>
    <m/>
    <m/>
    <m/>
    <m/>
    <m/>
    <m/>
    <m/>
    <m/>
    <m/>
    <m/>
    <m/>
  </r>
  <r>
    <s v="FD-004-067"/>
    <n v="4.7"/>
    <n v="6.1"/>
    <n v="0"/>
    <n v="10"/>
    <n v="0"/>
    <n v="90"/>
    <n v="0"/>
    <n v="0.09"/>
    <x v="3"/>
    <x v="0"/>
    <m/>
    <x v="9"/>
    <m/>
    <m/>
    <m/>
    <m/>
    <m/>
    <m/>
    <m/>
    <m/>
    <m/>
    <m/>
    <m/>
  </r>
  <r>
    <s v="FD-004-068"/>
    <n v="4.7"/>
    <n v="6.1"/>
    <n v="20"/>
    <n v="45"/>
    <n v="0"/>
    <n v="0"/>
    <n v="0"/>
    <n v="0.09"/>
    <x v="4"/>
    <x v="0"/>
    <m/>
    <x v="9"/>
    <m/>
    <m/>
    <m/>
    <m/>
    <m/>
    <m/>
    <m/>
    <m/>
    <m/>
    <m/>
    <m/>
  </r>
  <r>
    <s v="FD-004-069"/>
    <n v="4.7"/>
    <n v="6.1"/>
    <n v="10"/>
    <n v="10"/>
    <n v="35"/>
    <n v="0"/>
    <n v="0"/>
    <n v="0.09"/>
    <x v="5"/>
    <x v="0"/>
    <m/>
    <x v="9"/>
    <m/>
    <m/>
    <m/>
    <m/>
    <m/>
    <m/>
    <m/>
    <m/>
    <m/>
    <m/>
    <m/>
  </r>
  <r>
    <s v="FD-004-070"/>
    <n v="4.7"/>
    <n v="6.1"/>
    <n v="20"/>
    <n v="10"/>
    <n v="0"/>
    <n v="40"/>
    <n v="0"/>
    <n v="0.09"/>
    <x v="6"/>
    <x v="0"/>
    <m/>
    <x v="9"/>
    <m/>
    <m/>
    <m/>
    <m/>
    <m/>
    <m/>
    <m/>
    <m/>
    <m/>
    <m/>
    <m/>
  </r>
  <r>
    <s v="FD-004-071"/>
    <n v="4.7"/>
    <n v="6.1"/>
    <n v="0"/>
    <n v="20"/>
    <n v="40"/>
    <n v="0"/>
    <n v="0"/>
    <n v="0.09"/>
    <x v="7"/>
    <x v="0"/>
    <d v="2025-08-20T00:00:00"/>
    <x v="0"/>
    <s v="Clear, colorless, practically free of particles"/>
    <n v="0.91200000000000003"/>
    <n v="6.15"/>
    <n v="76596"/>
    <n v="0.41"/>
    <n v="98.63"/>
    <n v="0.95"/>
    <n v="1368489"/>
    <n v="60.59"/>
    <n v="60.6"/>
    <n v="301"/>
  </r>
  <r>
    <s v="FD-004-072"/>
    <n v="4.7"/>
    <n v="6.1"/>
    <n v="0"/>
    <n v="20"/>
    <n v="0"/>
    <n v="80"/>
    <n v="0"/>
    <n v="0.09"/>
    <x v="8"/>
    <x v="0"/>
    <d v="2025-08-20T00:00:00"/>
    <x v="0"/>
    <s v="Clear, colorless, practically free of particles"/>
    <n v="0.88200000000000001"/>
    <n v="6.09"/>
    <n v="76601"/>
    <n v="0.45"/>
    <n v="98.41"/>
    <n v="1.1399999999999999"/>
    <n v="1332980"/>
    <n v="60.91"/>
    <n v="57.1"/>
    <n v="319"/>
  </r>
  <r>
    <s v="FD-004-073"/>
    <n v="4.7"/>
    <n v="6.1"/>
    <n v="10"/>
    <n v="20"/>
    <n v="30"/>
    <n v="0"/>
    <n v="0"/>
    <n v="0.09"/>
    <x v="9"/>
    <x v="0"/>
    <d v="2025-08-20T00:00:00"/>
    <x v="0"/>
    <s v="Clear, colorless, practically free of particles"/>
    <n v="1.0149999999999999"/>
    <n v="6.14"/>
    <n v="76606"/>
    <n v="1.59"/>
    <n v="97.56"/>
    <n v="0.86"/>
    <n v="1532941"/>
    <n v="58.86"/>
    <n v="54.74"/>
    <n v="407"/>
  </r>
  <r>
    <s v="FD-004-074"/>
    <n v="4.7"/>
    <n v="6.1"/>
    <n v="20"/>
    <n v="20"/>
    <n v="0"/>
    <n v="30"/>
    <n v="0"/>
    <n v="0.09"/>
    <x v="10"/>
    <x v="0"/>
    <d v="2025-08-20T00:00:00"/>
    <x v="0"/>
    <s v="Clear, colorless, practically free of particles"/>
    <n v="1.026"/>
    <n v="6.16"/>
    <n v="76615"/>
    <n v="1.67"/>
    <n v="97.47"/>
    <n v="0.87"/>
    <n v="1548395"/>
    <n v="58"/>
    <n v="53.79"/>
    <n v="489"/>
  </r>
  <r>
    <s v="FD-004-071"/>
    <n v="4.7"/>
    <n v="6.1"/>
    <n v="0"/>
    <n v="20"/>
    <n v="40"/>
    <n v="0"/>
    <n v="0"/>
    <n v="0.09"/>
    <x v="7"/>
    <x v="1"/>
    <d v="2025-08-20T00:00:00"/>
    <x v="0"/>
    <s v="Clear, colorless, practically free of particles"/>
    <n v="0.91200000000000003"/>
    <n v="6.15"/>
    <n v="76596"/>
    <n v="0.41"/>
    <n v="98.63"/>
    <n v="0.95"/>
    <n v="1368489"/>
    <n v="60.59"/>
    <n v="60.6"/>
    <n v="301"/>
  </r>
  <r>
    <s v="FD-004-072"/>
    <n v="4.7"/>
    <n v="6.1"/>
    <n v="0"/>
    <n v="20"/>
    <n v="0"/>
    <n v="80"/>
    <n v="0"/>
    <n v="0.09"/>
    <x v="8"/>
    <x v="1"/>
    <d v="2025-08-20T00:00:00"/>
    <x v="0"/>
    <s v="Clear, colorless, practically free of particles"/>
    <n v="0.88200000000000001"/>
    <n v="6.09"/>
    <n v="76601"/>
    <n v="0.45"/>
    <n v="98.41"/>
    <n v="1.1399999999999999"/>
    <n v="1332980"/>
    <n v="60.91"/>
    <n v="57.1"/>
    <n v="319"/>
  </r>
  <r>
    <s v="FD-004-073"/>
    <n v="4.7"/>
    <n v="6.1"/>
    <n v="10"/>
    <n v="20"/>
    <n v="30"/>
    <n v="0"/>
    <n v="0"/>
    <n v="0.09"/>
    <x v="9"/>
    <x v="1"/>
    <d v="2025-08-20T00:00:00"/>
    <x v="0"/>
    <s v="Clear, colorless, practically free of particles"/>
    <n v="1.0149999999999999"/>
    <n v="6.14"/>
    <n v="76606"/>
    <n v="1.59"/>
    <n v="97.56"/>
    <n v="0.86"/>
    <n v="1532941"/>
    <n v="58.86"/>
    <n v="54.74"/>
    <n v="407"/>
  </r>
  <r>
    <s v="FD-004-074"/>
    <n v="4.7"/>
    <n v="6.1"/>
    <n v="20"/>
    <n v="20"/>
    <n v="0"/>
    <n v="30"/>
    <n v="0"/>
    <n v="0.09"/>
    <x v="10"/>
    <x v="1"/>
    <d v="2025-08-20T00:00:00"/>
    <x v="0"/>
    <s v="Clear, colorless, practically free of particles"/>
    <n v="1.026"/>
    <n v="6.16"/>
    <n v="76615"/>
    <n v="1.67"/>
    <n v="97.47"/>
    <n v="0.87"/>
    <n v="1548395"/>
    <n v="58"/>
    <n v="53.79"/>
    <n v="489"/>
  </r>
  <r>
    <s v="FD-004-071"/>
    <n v="4.7"/>
    <n v="6.1"/>
    <n v="0"/>
    <n v="20"/>
    <n v="40"/>
    <n v="0"/>
    <n v="0"/>
    <n v="0.09"/>
    <x v="7"/>
    <x v="2"/>
    <d v="2025-08-20T00:00:00"/>
    <x v="0"/>
    <s v="Clear, colorless, practically free of particles"/>
    <n v="0.91200000000000003"/>
    <n v="6.15"/>
    <n v="76596"/>
    <n v="0.41"/>
    <n v="98.63"/>
    <n v="0.95"/>
    <n v="1368489"/>
    <n v="60.59"/>
    <n v="60.6"/>
    <n v="301"/>
  </r>
  <r>
    <s v="FD-004-072"/>
    <n v="4.7"/>
    <n v="6.1"/>
    <n v="0"/>
    <n v="20"/>
    <n v="0"/>
    <n v="80"/>
    <n v="0"/>
    <n v="0.09"/>
    <x v="8"/>
    <x v="2"/>
    <d v="2025-08-20T00:00:00"/>
    <x v="0"/>
    <s v="Clear, colorless, practically free of particles"/>
    <n v="0.88200000000000001"/>
    <n v="6.09"/>
    <n v="76601"/>
    <n v="0.45"/>
    <n v="98.41"/>
    <n v="1.1399999999999999"/>
    <n v="1332980"/>
    <n v="60.91"/>
    <n v="57.1"/>
    <n v="319"/>
  </r>
  <r>
    <s v="FD-004-073"/>
    <n v="4.7"/>
    <n v="6.1"/>
    <n v="10"/>
    <n v="20"/>
    <n v="30"/>
    <n v="0"/>
    <n v="0"/>
    <n v="0.09"/>
    <x v="9"/>
    <x v="2"/>
    <d v="2025-08-20T00:00:00"/>
    <x v="0"/>
    <s v="Clear, colorless, practically free of particles"/>
    <n v="1.0149999999999999"/>
    <n v="6.14"/>
    <n v="76606"/>
    <n v="1.59"/>
    <n v="97.56"/>
    <n v="0.86"/>
    <n v="1532941"/>
    <n v="58.86"/>
    <n v="54.74"/>
    <n v="407"/>
  </r>
  <r>
    <s v="FD-004-074"/>
    <n v="4.7"/>
    <n v="6.1"/>
    <n v="20"/>
    <n v="20"/>
    <n v="0"/>
    <n v="30"/>
    <n v="0"/>
    <n v="0.09"/>
    <x v="10"/>
    <x v="2"/>
    <d v="2025-08-20T00:00:00"/>
    <x v="0"/>
    <s v="Clear, colorless, practically free of particles"/>
    <n v="1.026"/>
    <n v="6.16"/>
    <n v="76615"/>
    <n v="1.67"/>
    <n v="97.47"/>
    <n v="0.87"/>
    <n v="1548395"/>
    <n v="58"/>
    <n v="53.79"/>
    <n v="489"/>
  </r>
  <r>
    <s v="FD-004-071"/>
    <n v="4.7"/>
    <n v="6.1"/>
    <n v="0"/>
    <n v="20"/>
    <n v="40"/>
    <n v="0"/>
    <n v="0"/>
    <n v="0.09"/>
    <x v="7"/>
    <x v="3"/>
    <d v="2025-08-20T00:00:00"/>
    <x v="1"/>
    <s v="Clear, colorless, practically free of particles"/>
    <n v="0.91200000000000003"/>
    <n v="6.15"/>
    <n v="76596"/>
    <n v="0.41"/>
    <n v="98.63"/>
    <n v="0.95"/>
    <n v="1368489"/>
    <n v="60.59"/>
    <n v="60.6"/>
    <n v="301"/>
  </r>
  <r>
    <s v="FD-004-072"/>
    <n v="4.7"/>
    <n v="6.1"/>
    <n v="0"/>
    <n v="20"/>
    <n v="0"/>
    <n v="80"/>
    <n v="0"/>
    <n v="0.09"/>
    <x v="8"/>
    <x v="3"/>
    <d v="2025-08-20T00:00:00"/>
    <x v="1"/>
    <s v="Clear, colorless, practically free of particles"/>
    <n v="0.88200000000000001"/>
    <n v="6.09"/>
    <n v="76601"/>
    <n v="0.45"/>
    <n v="98.41"/>
    <n v="1.1399999999999999"/>
    <n v="1332980"/>
    <n v="60.91"/>
    <n v="57.1"/>
    <n v="319"/>
  </r>
  <r>
    <s v="FD-004-073"/>
    <n v="4.7"/>
    <n v="6.1"/>
    <n v="10"/>
    <n v="20"/>
    <n v="30"/>
    <n v="0"/>
    <n v="0"/>
    <n v="0.09"/>
    <x v="9"/>
    <x v="3"/>
    <d v="2025-08-20T00:00:00"/>
    <x v="1"/>
    <s v="Clear, colorless, practically free of particles"/>
    <n v="1.0149999999999999"/>
    <n v="6.14"/>
    <n v="76606"/>
    <n v="1.59"/>
    <n v="97.56"/>
    <n v="0.86"/>
    <n v="1532941"/>
    <n v="58.86"/>
    <n v="54.74"/>
    <n v="407"/>
  </r>
  <r>
    <s v="FD-004-074"/>
    <n v="4.7"/>
    <n v="6.1"/>
    <n v="20"/>
    <n v="20"/>
    <n v="0"/>
    <n v="30"/>
    <n v="0"/>
    <n v="0.09"/>
    <x v="10"/>
    <x v="3"/>
    <d v="2025-08-20T00:00:00"/>
    <x v="1"/>
    <s v="Clear, colorless, practically free of particles"/>
    <n v="1.026"/>
    <n v="6.16"/>
    <n v="76615"/>
    <n v="1.67"/>
    <n v="97.47"/>
    <n v="0.87"/>
    <n v="1548395"/>
    <n v="58"/>
    <n v="53.79"/>
    <n v="489"/>
  </r>
  <r>
    <s v="FD-004-075 A"/>
    <n v="4.7"/>
    <n v="6.1"/>
    <n v="0"/>
    <n v="20"/>
    <n v="40"/>
    <n v="0"/>
    <n v="0"/>
    <n v="0.09"/>
    <x v="7"/>
    <x v="1"/>
    <d v="2025-08-22T00:00:00"/>
    <x v="10"/>
    <m/>
    <m/>
    <m/>
    <n v="77060"/>
    <n v="0.66"/>
    <n v="98.16"/>
    <n v="1.18"/>
    <n v="1284864"/>
    <m/>
    <m/>
    <m/>
  </r>
  <r>
    <s v="FD-004-076 A"/>
    <n v="4.7"/>
    <n v="6.1"/>
    <n v="0"/>
    <n v="20"/>
    <n v="0"/>
    <n v="80"/>
    <n v="0"/>
    <n v="0.09"/>
    <x v="8"/>
    <x v="1"/>
    <d v="2025-08-22T00:00:00"/>
    <x v="10"/>
    <m/>
    <m/>
    <m/>
    <n v="77075"/>
    <n v="0.51"/>
    <n v="98.45"/>
    <n v="1.05"/>
    <n v="1357550"/>
    <m/>
    <m/>
    <m/>
  </r>
  <r>
    <s v="FD-004-077 A"/>
    <n v="4.7"/>
    <n v="6.1"/>
    <n v="10"/>
    <n v="20"/>
    <n v="30"/>
    <n v="0"/>
    <n v="0"/>
    <n v="0.09"/>
    <x v="9"/>
    <x v="1"/>
    <d v="2025-08-22T00:00:00"/>
    <x v="10"/>
    <m/>
    <m/>
    <m/>
    <n v="77080"/>
    <n v="1.69"/>
    <n v="97.38"/>
    <n v="0.92"/>
    <n v="1567163"/>
    <m/>
    <m/>
    <m/>
  </r>
  <r>
    <s v="FD-004-078 A"/>
    <n v="4.7"/>
    <n v="6.1"/>
    <n v="20"/>
    <n v="20"/>
    <n v="0"/>
    <n v="30"/>
    <n v="0"/>
    <n v="0.09"/>
    <x v="10"/>
    <x v="1"/>
    <d v="2025-08-22T00:00:00"/>
    <x v="10"/>
    <m/>
    <m/>
    <m/>
    <n v="77085"/>
    <n v="1.8"/>
    <n v="97.17"/>
    <n v="1.03"/>
    <n v="1566033"/>
    <m/>
    <m/>
    <m/>
  </r>
  <r>
    <s v="FD-004-079 A"/>
    <n v="4.7"/>
    <n v="6.1"/>
    <n v="0"/>
    <n v="20"/>
    <n v="40"/>
    <n v="0"/>
    <n v="0"/>
    <n v="0.09"/>
    <x v="7"/>
    <x v="2"/>
    <d v="2025-08-22T00:00:00"/>
    <x v="10"/>
    <m/>
    <m/>
    <m/>
    <n v="77090"/>
    <n v="0.79"/>
    <n v="97.9"/>
    <n v="1.31"/>
    <n v="1405337"/>
    <m/>
    <m/>
    <m/>
  </r>
  <r>
    <s v="FD-004-080 A"/>
    <n v="4.7"/>
    <n v="6.1"/>
    <n v="0"/>
    <n v="20"/>
    <n v="0"/>
    <n v="80"/>
    <n v="0"/>
    <n v="0.09"/>
    <x v="8"/>
    <x v="2"/>
    <d v="2025-08-22T00:00:00"/>
    <x v="10"/>
    <m/>
    <m/>
    <m/>
    <n v="77095"/>
    <n v="0.8"/>
    <n v="97.86"/>
    <n v="1.34"/>
    <n v="1339314"/>
    <m/>
    <m/>
    <m/>
  </r>
  <r>
    <s v="FD-004-081 A"/>
    <n v="4.7"/>
    <n v="6.1"/>
    <n v="10"/>
    <n v="20"/>
    <n v="30"/>
    <n v="0"/>
    <n v="0"/>
    <n v="0.09"/>
    <x v="9"/>
    <x v="2"/>
    <d v="2025-08-22T00:00:00"/>
    <x v="10"/>
    <m/>
    <m/>
    <m/>
    <n v="77100"/>
    <n v="3.02"/>
    <n v="95.92"/>
    <n v="1.06"/>
    <n v="1535428"/>
    <m/>
    <m/>
    <m/>
  </r>
  <r>
    <s v="FD-004-082 A"/>
    <n v="4.7"/>
    <n v="6.1"/>
    <n v="20"/>
    <n v="20"/>
    <n v="0"/>
    <n v="30"/>
    <n v="0"/>
    <n v="0.09"/>
    <x v="10"/>
    <x v="2"/>
    <d v="2025-08-22T00:00:00"/>
    <x v="10"/>
    <m/>
    <m/>
    <m/>
    <n v="77105"/>
    <n v="3.1"/>
    <n v="95.88"/>
    <n v="1.02"/>
    <n v="1554131"/>
    <m/>
    <m/>
    <m/>
  </r>
  <r>
    <s v="FD-004-075"/>
    <n v="4.7"/>
    <n v="6.1"/>
    <n v="0"/>
    <n v="20"/>
    <n v="40"/>
    <n v="0"/>
    <n v="0"/>
    <n v="0.09"/>
    <x v="7"/>
    <x v="1"/>
    <d v="2025-08-25T00:00:00"/>
    <x v="11"/>
    <s v="Clear, colorless, practically free of particles"/>
    <n v="0.93500000000000005"/>
    <n v="6.03"/>
    <n v="77494"/>
    <n v="0.93"/>
    <n v="97.91"/>
    <n v="1.1599999999999999"/>
    <n v="1242018"/>
    <m/>
    <m/>
    <m/>
  </r>
  <r>
    <s v="FD-004-076"/>
    <n v="4.7"/>
    <n v="6.1"/>
    <n v="0"/>
    <n v="20"/>
    <n v="0"/>
    <n v="80"/>
    <n v="0"/>
    <n v="0.09"/>
    <x v="8"/>
    <x v="1"/>
    <d v="2025-08-25T00:00:00"/>
    <x v="11"/>
    <s v="Clear, colorless, practically free of particles"/>
    <n v="0.92400000000000004"/>
    <n v="6.05"/>
    <n v="77509"/>
    <n v="0.56999999999999995"/>
    <n v="98.42"/>
    <n v="1.02"/>
    <n v="1326371"/>
    <m/>
    <m/>
    <m/>
  </r>
  <r>
    <s v="FD-004-077"/>
    <n v="4.7"/>
    <n v="6.1"/>
    <n v="10"/>
    <n v="20"/>
    <n v="30"/>
    <n v="0"/>
    <n v="0"/>
    <n v="0.09"/>
    <x v="9"/>
    <x v="1"/>
    <d v="2025-08-25T00:00:00"/>
    <x v="11"/>
    <s v="Clear, colorless, practically free of particles"/>
    <n v="1.0609999999999999"/>
    <n v="6.12"/>
    <n v="77514"/>
    <n v="1.77"/>
    <n v="97.3"/>
    <n v="0.93"/>
    <n v="1535026"/>
    <m/>
    <m/>
    <m/>
  </r>
  <r>
    <s v="FD-004-078"/>
    <n v="4.7"/>
    <n v="6.1"/>
    <n v="20"/>
    <n v="20"/>
    <n v="0"/>
    <n v="30"/>
    <n v="0"/>
    <n v="0.09"/>
    <x v="10"/>
    <x v="1"/>
    <d v="2025-08-25T00:00:00"/>
    <x v="11"/>
    <s v="Clear, colorless, practically free of particles"/>
    <n v="1.0169999999999999"/>
    <n v="6.15"/>
    <n v="77519"/>
    <n v="1.91"/>
    <n v="97.12"/>
    <n v="0.97"/>
    <n v="1551571"/>
    <m/>
    <m/>
    <m/>
  </r>
  <r>
    <s v="FD-004-079"/>
    <n v="4.7"/>
    <n v="6.1"/>
    <n v="0"/>
    <n v="20"/>
    <n v="40"/>
    <n v="0"/>
    <n v="0"/>
    <n v="0.09"/>
    <x v="7"/>
    <x v="2"/>
    <d v="2025-08-25T00:00:00"/>
    <x v="11"/>
    <s v="Clear, colorless, practically free of particles"/>
    <n v="0.96099999999999997"/>
    <n v="6.09"/>
    <n v="77524"/>
    <n v="0.78"/>
    <n v="97.6"/>
    <n v="1.62"/>
    <n v="1393837"/>
    <m/>
    <m/>
    <m/>
  </r>
  <r>
    <s v="FD-004-080"/>
    <n v="4.7"/>
    <n v="6.1"/>
    <n v="0"/>
    <n v="20"/>
    <n v="0"/>
    <n v="80"/>
    <n v="0"/>
    <n v="0.09"/>
    <x v="8"/>
    <x v="2"/>
    <d v="2025-08-25T00:00:00"/>
    <x v="11"/>
    <s v="Clear, colorless, practically free of particles"/>
    <n v="0.91200000000000003"/>
    <n v="6.07"/>
    <n v="77529"/>
    <n v="0.77"/>
    <n v="97.76"/>
    <n v="1.46"/>
    <n v="1331799"/>
    <m/>
    <m/>
    <m/>
  </r>
  <r>
    <s v="FD-004-081"/>
    <n v="4.7"/>
    <n v="6.1"/>
    <n v="10"/>
    <n v="20"/>
    <n v="30"/>
    <n v="0"/>
    <n v="0"/>
    <n v="0.09"/>
    <x v="9"/>
    <x v="2"/>
    <d v="2025-08-25T00:00:00"/>
    <x v="11"/>
    <s v="Clear, colorless, practically free of particles"/>
    <n v="1.026"/>
    <n v="6.1"/>
    <n v="77534"/>
    <n v="3.18"/>
    <n v="95.67"/>
    <n v="1.1499999999999999"/>
    <n v="1530560"/>
    <m/>
    <m/>
    <m/>
  </r>
  <r>
    <s v="FD-004-082"/>
    <n v="4.7"/>
    <n v="6.1"/>
    <n v="20"/>
    <n v="20"/>
    <n v="0"/>
    <n v="30"/>
    <n v="0"/>
    <n v="0.09"/>
    <x v="10"/>
    <x v="2"/>
    <d v="2025-08-25T00:00:00"/>
    <x v="11"/>
    <s v="Clear, colorless, practically free of particles"/>
    <n v="1.0449999999999999"/>
    <n v="6.12"/>
    <n v="77539"/>
    <n v="3.25"/>
    <n v="95.62"/>
    <n v="1.1299999999999999"/>
    <n v="1541919"/>
    <m/>
    <m/>
    <m/>
  </r>
  <r>
    <s v="FD-004-083"/>
    <n v="4.7"/>
    <n v="6.1"/>
    <n v="0"/>
    <n v="20"/>
    <n v="40"/>
    <n v="0"/>
    <n v="0"/>
    <n v="0.09"/>
    <x v="7"/>
    <x v="1"/>
    <m/>
    <x v="4"/>
    <m/>
    <m/>
    <m/>
    <m/>
    <m/>
    <m/>
    <m/>
    <m/>
    <m/>
    <m/>
    <m/>
  </r>
  <r>
    <s v="FD-004-084"/>
    <n v="4.7"/>
    <n v="6.1"/>
    <n v="0"/>
    <n v="20"/>
    <n v="0"/>
    <n v="80"/>
    <n v="0"/>
    <n v="0.09"/>
    <x v="8"/>
    <x v="1"/>
    <m/>
    <x v="4"/>
    <m/>
    <m/>
    <m/>
    <m/>
    <m/>
    <m/>
    <m/>
    <m/>
    <m/>
    <m/>
    <m/>
  </r>
  <r>
    <s v="FD-004-085"/>
    <n v="4.7"/>
    <n v="6.1"/>
    <n v="10"/>
    <n v="20"/>
    <n v="30"/>
    <n v="0"/>
    <n v="0"/>
    <n v="0.09"/>
    <x v="9"/>
    <x v="1"/>
    <m/>
    <x v="4"/>
    <m/>
    <m/>
    <m/>
    <m/>
    <m/>
    <m/>
    <m/>
    <m/>
    <m/>
    <m/>
    <m/>
  </r>
  <r>
    <s v="FD-004-086"/>
    <n v="4.7"/>
    <n v="6.1"/>
    <n v="20"/>
    <n v="20"/>
    <n v="0"/>
    <n v="30"/>
    <n v="0"/>
    <n v="0.09"/>
    <x v="10"/>
    <x v="1"/>
    <m/>
    <x v="4"/>
    <m/>
    <m/>
    <m/>
    <m/>
    <m/>
    <m/>
    <m/>
    <m/>
    <m/>
    <m/>
    <m/>
  </r>
  <r>
    <s v="FD-004-087"/>
    <n v="4.7"/>
    <n v="6.1"/>
    <n v="0"/>
    <n v="20"/>
    <n v="40"/>
    <n v="0"/>
    <n v="0"/>
    <n v="0.09"/>
    <x v="7"/>
    <x v="2"/>
    <m/>
    <x v="4"/>
    <m/>
    <m/>
    <m/>
    <m/>
    <m/>
    <m/>
    <m/>
    <m/>
    <m/>
    <m/>
    <m/>
  </r>
  <r>
    <s v="FD-004-088"/>
    <n v="4.7"/>
    <n v="6.1"/>
    <n v="0"/>
    <n v="20"/>
    <n v="0"/>
    <n v="80"/>
    <n v="0"/>
    <n v="0.09"/>
    <x v="8"/>
    <x v="2"/>
    <m/>
    <x v="4"/>
    <m/>
    <m/>
    <m/>
    <m/>
    <m/>
    <m/>
    <m/>
    <m/>
    <m/>
    <m/>
    <m/>
  </r>
  <r>
    <s v="FD-004-089"/>
    <n v="4.7"/>
    <n v="6.1"/>
    <n v="10"/>
    <n v="20"/>
    <n v="30"/>
    <n v="0"/>
    <n v="0"/>
    <n v="0.09"/>
    <x v="9"/>
    <x v="2"/>
    <m/>
    <x v="4"/>
    <m/>
    <m/>
    <m/>
    <m/>
    <m/>
    <m/>
    <m/>
    <m/>
    <m/>
    <m/>
    <m/>
  </r>
  <r>
    <s v="FD-004-090"/>
    <n v="4.7"/>
    <n v="6.1"/>
    <n v="20"/>
    <n v="20"/>
    <n v="0"/>
    <n v="30"/>
    <n v="0"/>
    <n v="0.09"/>
    <x v="10"/>
    <x v="2"/>
    <m/>
    <x v="4"/>
    <m/>
    <m/>
    <m/>
    <m/>
    <m/>
    <m/>
    <m/>
    <m/>
    <m/>
    <m/>
    <m/>
  </r>
  <r>
    <s v="FD-004-091"/>
    <n v="4.7"/>
    <n v="6.1"/>
    <n v="0"/>
    <n v="20"/>
    <n v="40"/>
    <n v="0"/>
    <n v="0"/>
    <n v="0.09"/>
    <x v="7"/>
    <x v="1"/>
    <m/>
    <x v="5"/>
    <m/>
    <m/>
    <m/>
    <m/>
    <m/>
    <m/>
    <m/>
    <m/>
    <m/>
    <m/>
    <m/>
  </r>
  <r>
    <s v="FD-004-092"/>
    <n v="4.7"/>
    <n v="6.1"/>
    <n v="0"/>
    <n v="20"/>
    <n v="0"/>
    <n v="80"/>
    <n v="0"/>
    <n v="0.09"/>
    <x v="8"/>
    <x v="1"/>
    <m/>
    <x v="5"/>
    <m/>
    <m/>
    <m/>
    <m/>
    <m/>
    <m/>
    <m/>
    <m/>
    <m/>
    <m/>
    <m/>
  </r>
  <r>
    <s v="FD-004-093"/>
    <n v="4.7"/>
    <n v="6.1"/>
    <n v="10"/>
    <n v="20"/>
    <n v="30"/>
    <n v="0"/>
    <n v="0"/>
    <n v="0.09"/>
    <x v="9"/>
    <x v="1"/>
    <m/>
    <x v="5"/>
    <m/>
    <m/>
    <m/>
    <m/>
    <m/>
    <m/>
    <m/>
    <m/>
    <m/>
    <m/>
    <m/>
  </r>
  <r>
    <s v="FD-004-094"/>
    <n v="4.7"/>
    <n v="6.1"/>
    <n v="20"/>
    <n v="20"/>
    <n v="0"/>
    <n v="30"/>
    <n v="0"/>
    <n v="0.09"/>
    <x v="10"/>
    <x v="1"/>
    <m/>
    <x v="5"/>
    <m/>
    <m/>
    <m/>
    <m/>
    <m/>
    <m/>
    <m/>
    <m/>
    <m/>
    <m/>
    <m/>
  </r>
  <r>
    <s v="FD-004-095"/>
    <n v="4.7"/>
    <n v="6.1"/>
    <n v="0"/>
    <n v="20"/>
    <n v="40"/>
    <n v="0"/>
    <n v="0"/>
    <n v="0.09"/>
    <x v="7"/>
    <x v="3"/>
    <m/>
    <x v="6"/>
    <m/>
    <m/>
    <m/>
    <m/>
    <m/>
    <m/>
    <m/>
    <m/>
    <m/>
    <m/>
    <m/>
  </r>
  <r>
    <s v="FD-004-096"/>
    <n v="4.7"/>
    <n v="6.1"/>
    <n v="0"/>
    <n v="20"/>
    <n v="0"/>
    <n v="80"/>
    <n v="0"/>
    <n v="0.09"/>
    <x v="8"/>
    <x v="3"/>
    <m/>
    <x v="6"/>
    <m/>
    <m/>
    <m/>
    <m/>
    <m/>
    <m/>
    <m/>
    <m/>
    <m/>
    <m/>
    <m/>
  </r>
  <r>
    <s v="FD-004-097"/>
    <n v="4.7"/>
    <n v="6.1"/>
    <n v="10"/>
    <n v="20"/>
    <n v="30"/>
    <n v="0"/>
    <n v="0"/>
    <n v="0.09"/>
    <x v="9"/>
    <x v="3"/>
    <m/>
    <x v="6"/>
    <m/>
    <m/>
    <m/>
    <m/>
    <m/>
    <m/>
    <m/>
    <m/>
    <m/>
    <m/>
    <m/>
  </r>
  <r>
    <s v="FD-004-098"/>
    <n v="4.7"/>
    <n v="6.1"/>
    <n v="20"/>
    <n v="20"/>
    <n v="0"/>
    <n v="30"/>
    <n v="0"/>
    <n v="0.09"/>
    <x v="10"/>
    <x v="3"/>
    <m/>
    <x v="6"/>
    <m/>
    <m/>
    <m/>
    <m/>
    <m/>
    <m/>
    <m/>
    <m/>
    <m/>
    <m/>
    <m/>
  </r>
  <r>
    <s v="FD-004-099"/>
    <n v="4.7"/>
    <n v="6.1"/>
    <n v="0"/>
    <n v="20"/>
    <n v="40"/>
    <n v="0"/>
    <n v="0"/>
    <n v="0.09"/>
    <x v="7"/>
    <x v="0"/>
    <m/>
    <x v="7"/>
    <m/>
    <m/>
    <m/>
    <m/>
    <m/>
    <m/>
    <m/>
    <m/>
    <m/>
    <m/>
    <m/>
  </r>
  <r>
    <s v="FD-004-100"/>
    <n v="4.7"/>
    <n v="6.1"/>
    <n v="0"/>
    <n v="20"/>
    <n v="0"/>
    <n v="80"/>
    <n v="0"/>
    <n v="0.09"/>
    <x v="8"/>
    <x v="0"/>
    <m/>
    <x v="7"/>
    <m/>
    <m/>
    <m/>
    <m/>
    <m/>
    <m/>
    <m/>
    <m/>
    <m/>
    <m/>
    <m/>
  </r>
  <r>
    <s v="FD-004-101"/>
    <n v="4.7"/>
    <n v="6.1"/>
    <n v="10"/>
    <n v="20"/>
    <n v="30"/>
    <n v="0"/>
    <n v="0"/>
    <n v="0.09"/>
    <x v="9"/>
    <x v="0"/>
    <m/>
    <x v="7"/>
    <m/>
    <m/>
    <m/>
    <m/>
    <m/>
    <m/>
    <m/>
    <m/>
    <m/>
    <m/>
    <m/>
  </r>
  <r>
    <s v="FD-004-102"/>
    <n v="4.7"/>
    <n v="6.1"/>
    <n v="20"/>
    <n v="20"/>
    <n v="0"/>
    <n v="30"/>
    <n v="0"/>
    <n v="0.09"/>
    <x v="10"/>
    <x v="0"/>
    <m/>
    <x v="7"/>
    <m/>
    <m/>
    <m/>
    <m/>
    <m/>
    <m/>
    <m/>
    <m/>
    <m/>
    <m/>
    <m/>
  </r>
  <r>
    <s v="FD-004-103"/>
    <n v="4.7"/>
    <n v="6.1"/>
    <n v="0"/>
    <n v="20"/>
    <n v="40"/>
    <n v="0"/>
    <n v="0"/>
    <n v="0.09"/>
    <x v="7"/>
    <x v="0"/>
    <m/>
    <x v="8"/>
    <m/>
    <m/>
    <m/>
    <m/>
    <m/>
    <m/>
    <m/>
    <m/>
    <m/>
    <m/>
    <m/>
  </r>
  <r>
    <s v="FD-004-104"/>
    <n v="4.7"/>
    <n v="6.1"/>
    <n v="0"/>
    <n v="20"/>
    <n v="0"/>
    <n v="80"/>
    <n v="0"/>
    <n v="0.09"/>
    <x v="8"/>
    <x v="0"/>
    <m/>
    <x v="8"/>
    <m/>
    <m/>
    <m/>
    <m/>
    <m/>
    <m/>
    <m/>
    <m/>
    <m/>
    <m/>
    <m/>
  </r>
  <r>
    <s v="FD-004-105"/>
    <n v="4.7"/>
    <n v="6.1"/>
    <n v="10"/>
    <n v="20"/>
    <n v="30"/>
    <n v="0"/>
    <n v="0"/>
    <n v="0.09"/>
    <x v="9"/>
    <x v="0"/>
    <m/>
    <x v="8"/>
    <m/>
    <m/>
    <m/>
    <m/>
    <m/>
    <m/>
    <m/>
    <m/>
    <m/>
    <m/>
    <m/>
  </r>
  <r>
    <s v="FD-004-106"/>
    <n v="4.7"/>
    <n v="6.1"/>
    <n v="20"/>
    <n v="20"/>
    <n v="0"/>
    <n v="30"/>
    <n v="0"/>
    <n v="0.09"/>
    <x v="10"/>
    <x v="0"/>
    <m/>
    <x v="8"/>
    <m/>
    <m/>
    <m/>
    <m/>
    <m/>
    <m/>
    <m/>
    <m/>
    <m/>
    <m/>
    <m/>
  </r>
  <r>
    <s v="FD-004-107"/>
    <n v="4.7"/>
    <n v="6.1"/>
    <n v="0"/>
    <n v="20"/>
    <n v="40"/>
    <n v="0"/>
    <n v="0"/>
    <n v="0.09"/>
    <x v="7"/>
    <x v="0"/>
    <m/>
    <x v="9"/>
    <m/>
    <m/>
    <m/>
    <m/>
    <m/>
    <m/>
    <m/>
    <m/>
    <m/>
    <m/>
    <m/>
  </r>
  <r>
    <s v="FD-004-108"/>
    <n v="4.7"/>
    <n v="6.1"/>
    <n v="0"/>
    <n v="20"/>
    <n v="0"/>
    <n v="80"/>
    <n v="0"/>
    <n v="0.09"/>
    <x v="8"/>
    <x v="0"/>
    <m/>
    <x v="9"/>
    <m/>
    <m/>
    <m/>
    <m/>
    <m/>
    <m/>
    <m/>
    <m/>
    <m/>
    <m/>
    <m/>
  </r>
  <r>
    <s v="FD-004-109"/>
    <n v="4.7"/>
    <n v="6.1"/>
    <n v="10"/>
    <n v="20"/>
    <n v="30"/>
    <n v="0"/>
    <n v="0"/>
    <n v="0.09"/>
    <x v="9"/>
    <x v="0"/>
    <m/>
    <x v="9"/>
    <m/>
    <m/>
    <m/>
    <m/>
    <m/>
    <m/>
    <m/>
    <m/>
    <m/>
    <m/>
    <m/>
  </r>
  <r>
    <s v="FD-004-110"/>
    <n v="4.7"/>
    <n v="6.1"/>
    <n v="20"/>
    <n v="20"/>
    <n v="0"/>
    <n v="30"/>
    <n v="0"/>
    <n v="0.09"/>
    <x v="10"/>
    <x v="0"/>
    <m/>
    <x v="9"/>
    <m/>
    <m/>
    <m/>
    <m/>
    <m/>
    <m/>
    <m/>
    <m/>
    <m/>
    <m/>
    <m/>
  </r>
  <r>
    <s v="FD-004-111"/>
    <n v="4.7"/>
    <n v="6.1"/>
    <n v="0"/>
    <n v="95"/>
    <n v="0"/>
    <n v="0"/>
    <n v="0"/>
    <n v="0.5"/>
    <x v="11"/>
    <x v="0"/>
    <d v="2025-08-22T00:00:00"/>
    <x v="0"/>
    <s v="Clear, colorless, practically free of particles"/>
    <n v="0.93200000000000005"/>
    <n v="5.92"/>
    <n v="77110"/>
    <n v="0.42"/>
    <n v="98.43"/>
    <n v="1.1499999999999999"/>
    <n v="1429545"/>
    <n v="60.7471923828125"/>
    <n v="55.83"/>
    <n v="329"/>
  </r>
  <r>
    <s v="FD-004-112"/>
    <n v="4.7"/>
    <n v="6.1"/>
    <n v="0"/>
    <n v="20"/>
    <n v="0"/>
    <n v="0"/>
    <n v="20"/>
    <n v="0.5"/>
    <x v="12"/>
    <x v="0"/>
    <d v="2025-08-22T00:00:00"/>
    <x v="0"/>
    <s v="Clear, colorless, practically free of particles"/>
    <n v="0.95399999999999996"/>
    <n v="6.04"/>
    <n v="77125"/>
    <n v="0.52"/>
    <n v="98.55"/>
    <n v="0.93"/>
    <n v="1431168"/>
    <n v="60.810604095458984"/>
    <n v="57.96"/>
    <n v="342"/>
  </r>
  <r>
    <s v="FD-004-111"/>
    <n v="4.7"/>
    <n v="6.1"/>
    <n v="0"/>
    <n v="95"/>
    <n v="0"/>
    <n v="0"/>
    <n v="0"/>
    <n v="0.5"/>
    <x v="11"/>
    <x v="1"/>
    <d v="2025-08-22T00:00:00"/>
    <x v="0"/>
    <s v="Clear, colorless, practically free of particles"/>
    <n v="0.93200000000000005"/>
    <n v="5.92"/>
    <n v="77110"/>
    <n v="0.42"/>
    <n v="98.43"/>
    <n v="1.1499999999999999"/>
    <n v="1429545"/>
    <n v="60.7471923828125"/>
    <n v="55.83"/>
    <n v="329"/>
  </r>
  <r>
    <s v="FD-004-112"/>
    <n v="4.7"/>
    <n v="6.1"/>
    <n v="0"/>
    <n v="20"/>
    <n v="0"/>
    <n v="0"/>
    <n v="20"/>
    <n v="0.5"/>
    <x v="12"/>
    <x v="1"/>
    <d v="2025-08-22T00:00:00"/>
    <x v="0"/>
    <s v="Clear, colorless, practically free of particles"/>
    <n v="0.95399999999999996"/>
    <n v="6.04"/>
    <n v="77125"/>
    <n v="0.52"/>
    <n v="98.55"/>
    <n v="0.93"/>
    <n v="1431168"/>
    <n v="60.810604095458984"/>
    <n v="57.96"/>
    <n v="342"/>
  </r>
  <r>
    <s v="FD-004-111"/>
    <n v="4.7"/>
    <n v="6.1"/>
    <n v="0"/>
    <n v="95"/>
    <n v="0"/>
    <n v="0"/>
    <n v="0"/>
    <n v="0.5"/>
    <x v="11"/>
    <x v="2"/>
    <d v="2025-08-22T00:00:00"/>
    <x v="0"/>
    <s v="Clear, colorless, practically free of particles"/>
    <n v="0.93200000000000005"/>
    <n v="5.92"/>
    <n v="77110"/>
    <n v="0.42"/>
    <n v="98.43"/>
    <n v="1.1499999999999999"/>
    <n v="1429545"/>
    <n v="60.7471923828125"/>
    <n v="55.83"/>
    <n v="329"/>
  </r>
  <r>
    <s v="FD-004-112"/>
    <n v="4.7"/>
    <n v="6.1"/>
    <n v="0"/>
    <n v="20"/>
    <n v="0"/>
    <n v="0"/>
    <n v="20"/>
    <n v="0.5"/>
    <x v="12"/>
    <x v="2"/>
    <d v="2025-08-22T00:00:00"/>
    <x v="0"/>
    <s v="Clear, colorless, practically free of particles"/>
    <n v="0.95399999999999996"/>
    <n v="6.04"/>
    <n v="77125"/>
    <n v="0.52"/>
    <n v="98.55"/>
    <n v="0.93"/>
    <n v="1431168"/>
    <n v="60.810604095458984"/>
    <n v="57.96"/>
    <n v="342"/>
  </r>
  <r>
    <s v="FD-004-111"/>
    <n v="4.7"/>
    <n v="6.1"/>
    <n v="0"/>
    <n v="95"/>
    <n v="0"/>
    <n v="0"/>
    <n v="0"/>
    <n v="0.5"/>
    <x v="11"/>
    <x v="3"/>
    <d v="2025-08-22T00:00:00"/>
    <x v="1"/>
    <s v="Clear, colorless, practically free of particles"/>
    <n v="0.93200000000000005"/>
    <n v="5.92"/>
    <n v="77110"/>
    <n v="0.42"/>
    <n v="98.43"/>
    <n v="1.1499999999999999"/>
    <n v="1429545"/>
    <n v="60.7471923828125"/>
    <n v="55.83"/>
    <n v="329"/>
  </r>
  <r>
    <s v="FD-004-112"/>
    <n v="4.7"/>
    <n v="6.1"/>
    <n v="0"/>
    <n v="20"/>
    <n v="0"/>
    <n v="0"/>
    <n v="20"/>
    <n v="0.5"/>
    <x v="12"/>
    <x v="3"/>
    <d v="2025-08-22T00:00:00"/>
    <x v="1"/>
    <s v="Clear, colorless, practically free of particles"/>
    <n v="0.95399999999999996"/>
    <n v="6.04"/>
    <n v="77125"/>
    <n v="0.52"/>
    <n v="98.55"/>
    <n v="0.93"/>
    <n v="1431168"/>
    <n v="60.810604095458984"/>
    <n v="57.96"/>
    <n v="342"/>
  </r>
  <r>
    <s v="FD-004-113 A"/>
    <n v="4.7"/>
    <n v="6.1"/>
    <n v="0"/>
    <n v="95"/>
    <n v="0"/>
    <n v="0"/>
    <n v="0"/>
    <n v="0.5"/>
    <x v="11"/>
    <x v="1"/>
    <d v="2025-08-25T00:00:00"/>
    <x v="2"/>
    <m/>
    <m/>
    <m/>
    <n v="77544"/>
    <n v="0.54"/>
    <n v="98.47"/>
    <n v="0.99"/>
    <n v="1437774"/>
    <m/>
    <m/>
    <m/>
  </r>
  <r>
    <s v="FD-004-114 A"/>
    <n v="4.7"/>
    <n v="6.1"/>
    <n v="0"/>
    <n v="20"/>
    <n v="0"/>
    <n v="0"/>
    <n v="20"/>
    <n v="0.5"/>
    <x v="12"/>
    <x v="1"/>
    <d v="2025-08-25T00:00:00"/>
    <x v="2"/>
    <m/>
    <m/>
    <m/>
    <n v="77559"/>
    <n v="0.48"/>
    <n v="98.55"/>
    <n v="0.97"/>
    <n v="1471749"/>
    <m/>
    <m/>
    <m/>
  </r>
  <r>
    <s v="FD-004-115 A"/>
    <n v="4.7"/>
    <n v="6.1"/>
    <n v="0"/>
    <n v="95"/>
    <n v="0"/>
    <n v="0"/>
    <n v="0"/>
    <n v="0.5"/>
    <x v="11"/>
    <x v="2"/>
    <d v="2025-08-25T00:00:00"/>
    <x v="2"/>
    <m/>
    <m/>
    <m/>
    <n v="77564"/>
    <n v="0.72"/>
    <n v="98.15"/>
    <n v="1.1299999999999999"/>
    <n v="1447260"/>
    <m/>
    <m/>
    <m/>
  </r>
  <r>
    <s v="FD-004-116 A"/>
    <n v="4.7"/>
    <n v="6.1"/>
    <n v="0"/>
    <n v="20"/>
    <n v="0"/>
    <n v="0"/>
    <n v="20"/>
    <n v="0.5"/>
    <x v="12"/>
    <x v="2"/>
    <d v="2025-08-25T00:00:00"/>
    <x v="2"/>
    <m/>
    <m/>
    <m/>
    <n v="77569"/>
    <n v="0.9"/>
    <n v="97.58"/>
    <n v="1.52"/>
    <n v="1443844"/>
    <m/>
    <m/>
    <m/>
  </r>
  <r>
    <s v="FD-004-113"/>
    <n v="4.7"/>
    <n v="6.1"/>
    <n v="0"/>
    <n v="95"/>
    <n v="0"/>
    <n v="0"/>
    <n v="0"/>
    <n v="0.5"/>
    <x v="11"/>
    <x v="1"/>
    <m/>
    <x v="2"/>
    <m/>
    <m/>
    <m/>
    <m/>
    <m/>
    <m/>
    <m/>
    <m/>
    <m/>
    <m/>
    <m/>
  </r>
  <r>
    <s v="FD-004-114"/>
    <n v="4.7"/>
    <n v="6.1"/>
    <n v="0"/>
    <n v="20"/>
    <n v="0"/>
    <n v="0"/>
    <n v="20"/>
    <n v="0.5"/>
    <x v="12"/>
    <x v="1"/>
    <m/>
    <x v="2"/>
    <m/>
    <m/>
    <m/>
    <m/>
    <m/>
    <m/>
    <m/>
    <m/>
    <m/>
    <m/>
    <m/>
  </r>
  <r>
    <s v="FD-004-115"/>
    <n v="4.7"/>
    <n v="6.1"/>
    <n v="0"/>
    <n v="95"/>
    <n v="0"/>
    <n v="0"/>
    <n v="0"/>
    <n v="0.5"/>
    <x v="11"/>
    <x v="2"/>
    <m/>
    <x v="2"/>
    <m/>
    <m/>
    <m/>
    <m/>
    <m/>
    <m/>
    <m/>
    <m/>
    <m/>
    <m/>
    <m/>
  </r>
  <r>
    <s v="FD-004-116"/>
    <n v="4.7"/>
    <n v="6.1"/>
    <n v="0"/>
    <n v="20"/>
    <n v="0"/>
    <n v="0"/>
    <n v="20"/>
    <n v="0.5"/>
    <x v="12"/>
    <x v="2"/>
    <m/>
    <x v="2"/>
    <m/>
    <m/>
    <m/>
    <m/>
    <m/>
    <m/>
    <m/>
    <m/>
    <m/>
    <m/>
    <m/>
  </r>
  <r>
    <s v="FD-004-117"/>
    <n v="4.7"/>
    <n v="6.1"/>
    <n v="0"/>
    <n v="95"/>
    <n v="0"/>
    <n v="0"/>
    <n v="0"/>
    <n v="0.5"/>
    <x v="11"/>
    <x v="1"/>
    <m/>
    <x v="4"/>
    <m/>
    <m/>
    <m/>
    <m/>
    <m/>
    <m/>
    <m/>
    <m/>
    <m/>
    <m/>
    <m/>
  </r>
  <r>
    <s v="FD-004-118"/>
    <n v="4.7"/>
    <n v="6.1"/>
    <n v="0"/>
    <n v="20"/>
    <n v="0"/>
    <n v="0"/>
    <n v="20"/>
    <n v="0.5"/>
    <x v="12"/>
    <x v="1"/>
    <m/>
    <x v="4"/>
    <m/>
    <m/>
    <m/>
    <m/>
    <m/>
    <m/>
    <m/>
    <m/>
    <m/>
    <m/>
    <m/>
  </r>
  <r>
    <s v="FD-004-119"/>
    <n v="4.7"/>
    <n v="6.1"/>
    <n v="0"/>
    <n v="95"/>
    <n v="0"/>
    <n v="0"/>
    <n v="0"/>
    <n v="0.5"/>
    <x v="11"/>
    <x v="2"/>
    <m/>
    <x v="4"/>
    <m/>
    <m/>
    <m/>
    <m/>
    <m/>
    <m/>
    <m/>
    <m/>
    <m/>
    <m/>
    <m/>
  </r>
  <r>
    <s v="FD-004-120"/>
    <n v="4.7"/>
    <n v="6.1"/>
    <n v="0"/>
    <n v="20"/>
    <n v="0"/>
    <n v="0"/>
    <n v="20"/>
    <n v="0.5"/>
    <x v="12"/>
    <x v="2"/>
    <m/>
    <x v="4"/>
    <m/>
    <m/>
    <m/>
    <m/>
    <m/>
    <m/>
    <m/>
    <m/>
    <m/>
    <m/>
    <m/>
  </r>
  <r>
    <s v="FD-004-121"/>
    <n v="4.7"/>
    <n v="6.1"/>
    <n v="0"/>
    <n v="95"/>
    <n v="0"/>
    <n v="0"/>
    <n v="0"/>
    <n v="0.5"/>
    <x v="11"/>
    <x v="1"/>
    <m/>
    <x v="5"/>
    <m/>
    <m/>
    <m/>
    <m/>
    <m/>
    <m/>
    <m/>
    <m/>
    <m/>
    <m/>
    <m/>
  </r>
  <r>
    <s v="FD-004-122"/>
    <n v="4.7"/>
    <n v="6.1"/>
    <n v="0"/>
    <n v="20"/>
    <n v="0"/>
    <n v="0"/>
    <n v="20"/>
    <n v="0.5"/>
    <x v="12"/>
    <x v="1"/>
    <m/>
    <x v="5"/>
    <m/>
    <m/>
    <m/>
    <m/>
    <m/>
    <m/>
    <m/>
    <m/>
    <m/>
    <m/>
    <m/>
  </r>
  <r>
    <s v="FD-004-123"/>
    <n v="4.7"/>
    <n v="6.1"/>
    <n v="0"/>
    <n v="95"/>
    <n v="0"/>
    <n v="0"/>
    <n v="0"/>
    <n v="0.5"/>
    <x v="11"/>
    <x v="3"/>
    <m/>
    <x v="6"/>
    <m/>
    <m/>
    <m/>
    <m/>
    <m/>
    <m/>
    <m/>
    <m/>
    <m/>
    <m/>
    <m/>
  </r>
  <r>
    <s v="FD-004-124"/>
    <n v="4.7"/>
    <n v="6.1"/>
    <n v="0"/>
    <n v="20"/>
    <n v="0"/>
    <n v="0"/>
    <n v="20"/>
    <n v="0.5"/>
    <x v="12"/>
    <x v="3"/>
    <m/>
    <x v="6"/>
    <m/>
    <m/>
    <m/>
    <m/>
    <m/>
    <m/>
    <m/>
    <m/>
    <m/>
    <m/>
    <m/>
  </r>
  <r>
    <s v="FD-004-125"/>
    <n v="4.7"/>
    <n v="6.1"/>
    <n v="0"/>
    <n v="95"/>
    <n v="0"/>
    <n v="0"/>
    <n v="0"/>
    <n v="0.5"/>
    <x v="11"/>
    <x v="0"/>
    <m/>
    <x v="7"/>
    <m/>
    <m/>
    <m/>
    <m/>
    <m/>
    <m/>
    <m/>
    <m/>
    <m/>
    <m/>
    <m/>
  </r>
  <r>
    <s v="FD-004-126"/>
    <n v="4.7"/>
    <n v="6.1"/>
    <n v="0"/>
    <n v="20"/>
    <n v="0"/>
    <n v="0"/>
    <n v="20"/>
    <n v="0.5"/>
    <x v="12"/>
    <x v="0"/>
    <m/>
    <x v="7"/>
    <m/>
    <m/>
    <m/>
    <m/>
    <m/>
    <m/>
    <m/>
    <m/>
    <m/>
    <m/>
    <m/>
  </r>
  <r>
    <s v="FD-004-127"/>
    <n v="4.7"/>
    <n v="6.1"/>
    <n v="0"/>
    <n v="95"/>
    <n v="0"/>
    <n v="0"/>
    <n v="0"/>
    <n v="0.5"/>
    <x v="11"/>
    <x v="0"/>
    <m/>
    <x v="8"/>
    <m/>
    <m/>
    <m/>
    <m/>
    <m/>
    <m/>
    <m/>
    <m/>
    <m/>
    <m/>
    <m/>
  </r>
  <r>
    <s v="FD-004-128"/>
    <n v="4.7"/>
    <n v="6.1"/>
    <n v="0"/>
    <n v="20"/>
    <n v="0"/>
    <n v="0"/>
    <n v="20"/>
    <n v="0.5"/>
    <x v="12"/>
    <x v="0"/>
    <m/>
    <x v="8"/>
    <m/>
    <m/>
    <m/>
    <m/>
    <m/>
    <m/>
    <m/>
    <m/>
    <m/>
    <m/>
    <m/>
  </r>
  <r>
    <s v="FD-004-129"/>
    <n v="4.7"/>
    <n v="6.1"/>
    <n v="0"/>
    <n v="95"/>
    <n v="0"/>
    <n v="0"/>
    <n v="0"/>
    <n v="0.5"/>
    <x v="11"/>
    <x v="0"/>
    <m/>
    <x v="9"/>
    <m/>
    <m/>
    <m/>
    <m/>
    <m/>
    <m/>
    <m/>
    <m/>
    <m/>
    <m/>
    <m/>
  </r>
  <r>
    <s v="FD-004-130"/>
    <n v="4.7"/>
    <n v="6.1"/>
    <n v="0"/>
    <n v="20"/>
    <n v="0"/>
    <n v="0"/>
    <n v="20"/>
    <n v="0.5"/>
    <x v="12"/>
    <x v="0"/>
    <m/>
    <x v="9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8D65E-E24F-4897-A0CA-117DE0305581}" name="PivotTable7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4:N18" firstHeaderRow="1" firstDataRow="2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showAll="0">
      <items count="5">
        <item x="1"/>
        <item x="2"/>
        <item x="0"/>
        <item x="3"/>
        <item t="default"/>
      </items>
    </pivotField>
    <pivotField showAll="0"/>
    <pivotField axis="axisCol" multipleItemSelectionAllowed="1" showAll="0">
      <items count="13">
        <item x="0"/>
        <item x="10"/>
        <item x="2"/>
        <item x="11"/>
        <item x="3"/>
        <item h="1" x="4"/>
        <item h="1" x="5"/>
        <item h="1" x="7"/>
        <item h="1" x="8"/>
        <item h="1" x="9"/>
        <item h="1" x="1"/>
        <item h="1"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2"/>
  </colFields>
  <colItems count="5">
    <i>
      <x/>
    </i>
    <i>
      <x v="1"/>
    </i>
    <i>
      <x v="2"/>
    </i>
    <i>
      <x v="3"/>
    </i>
    <i>
      <x v="4"/>
    </i>
  </colItems>
  <pageFields count="1">
    <pageField fld="10" item="0" hier="-1"/>
  </pageFields>
  <dataFields count="1">
    <dataField name="Sum of Main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DEFD-74D0-4EF2-A3E4-643C548A50ED}">
  <dimension ref="A1:X218"/>
  <sheetViews>
    <sheetView tabSelected="1" workbookViewId="0">
      <pane ySplit="1" topLeftCell="A2" activePane="bottomLeft" state="frozen"/>
      <selection activeCell="D1" sqref="D1"/>
      <selection pane="bottomLeft" activeCell="P94" sqref="P94"/>
    </sheetView>
  </sheetViews>
  <sheetFormatPr defaultRowHeight="15" x14ac:dyDescent="0.25"/>
  <cols>
    <col min="1" max="1" width="12.42578125" style="2" customWidth="1"/>
    <col min="2" max="3" width="10.42578125" style="2" customWidth="1"/>
    <col min="4" max="4" width="13.42578125" style="2" customWidth="1"/>
    <col min="5" max="9" width="10.42578125" style="2" customWidth="1"/>
    <col min="10" max="13" width="11.42578125" style="2" customWidth="1"/>
    <col min="14" max="14" width="38.5703125" style="2" bestFit="1" customWidth="1"/>
    <col min="15" max="15" width="13.28515625" style="2" customWidth="1"/>
    <col min="16" max="22" width="8.7109375" style="2"/>
    <col min="23" max="23" width="10.42578125" style="2" customWidth="1"/>
    <col min="24" max="24" width="10.7109375" style="2" customWidth="1"/>
  </cols>
  <sheetData>
    <row r="1" spans="1:24" s="5" customFormat="1" ht="45" x14ac:dyDescent="0.25">
      <c r="A1" s="1" t="s">
        <v>0</v>
      </c>
      <c r="B1" s="1" t="s">
        <v>78</v>
      </c>
      <c r="C1" s="1" t="s">
        <v>73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156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72</v>
      </c>
      <c r="O1" s="1" t="s">
        <v>1</v>
      </c>
      <c r="P1" s="1" t="s">
        <v>73</v>
      </c>
      <c r="Q1" s="1" t="s">
        <v>181</v>
      </c>
      <c r="R1" s="1" t="s">
        <v>74</v>
      </c>
      <c r="S1" s="1" t="s">
        <v>75</v>
      </c>
      <c r="T1" s="1" t="s">
        <v>76</v>
      </c>
      <c r="U1" s="1" t="s">
        <v>135</v>
      </c>
      <c r="V1" s="1" t="s">
        <v>77</v>
      </c>
      <c r="W1" s="1" t="s">
        <v>94</v>
      </c>
      <c r="X1" s="1" t="s">
        <v>93</v>
      </c>
    </row>
    <row r="2" spans="1:24" x14ac:dyDescent="0.25">
      <c r="A2" s="2" t="s">
        <v>2</v>
      </c>
      <c r="B2" s="3">
        <v>4.7</v>
      </c>
      <c r="C2" s="3">
        <v>6.1</v>
      </c>
      <c r="D2" s="3">
        <v>0</v>
      </c>
      <c r="E2" s="3">
        <v>20</v>
      </c>
      <c r="F2" s="3">
        <v>0</v>
      </c>
      <c r="G2" s="3">
        <v>0</v>
      </c>
      <c r="H2" s="3">
        <v>0</v>
      </c>
      <c r="I2" s="2">
        <v>0.09</v>
      </c>
      <c r="J2" s="2">
        <v>1</v>
      </c>
      <c r="K2" s="2" t="s">
        <v>88</v>
      </c>
      <c r="L2" s="4">
        <v>45888</v>
      </c>
      <c r="M2" s="2">
        <v>0</v>
      </c>
      <c r="N2" s="2" t="s">
        <v>214</v>
      </c>
      <c r="O2" s="12">
        <v>0.996</v>
      </c>
      <c r="P2" s="8">
        <v>6.09</v>
      </c>
      <c r="Q2" s="2">
        <v>76382</v>
      </c>
      <c r="R2" s="2">
        <v>0.56000000000000005</v>
      </c>
      <c r="S2" s="2">
        <v>98.55</v>
      </c>
      <c r="T2" s="2">
        <v>0.89</v>
      </c>
      <c r="U2" s="2">
        <v>1543215</v>
      </c>
      <c r="V2" s="7">
        <v>59.873512268066406</v>
      </c>
      <c r="W2" s="7">
        <v>62.944774627685547</v>
      </c>
      <c r="X2" s="2">
        <v>74</v>
      </c>
    </row>
    <row r="3" spans="1:24" x14ac:dyDescent="0.25">
      <c r="A3" s="2" t="s">
        <v>3</v>
      </c>
      <c r="B3" s="3">
        <v>4.7</v>
      </c>
      <c r="C3" s="3">
        <v>6.1</v>
      </c>
      <c r="D3" s="3">
        <v>0</v>
      </c>
      <c r="E3" s="3">
        <v>95</v>
      </c>
      <c r="F3" s="3">
        <v>0</v>
      </c>
      <c r="G3" s="3">
        <v>0</v>
      </c>
      <c r="H3" s="3">
        <v>0</v>
      </c>
      <c r="I3" s="2">
        <v>0.09</v>
      </c>
      <c r="J3" s="2">
        <v>2</v>
      </c>
      <c r="K3" s="2" t="s">
        <v>88</v>
      </c>
      <c r="L3" s="4">
        <v>45888</v>
      </c>
      <c r="M3" s="2">
        <v>0</v>
      </c>
      <c r="N3" s="2" t="s">
        <v>214</v>
      </c>
      <c r="O3" s="12">
        <v>0.878</v>
      </c>
      <c r="P3" s="8">
        <v>6.05</v>
      </c>
      <c r="Q3" s="2">
        <v>76387</v>
      </c>
      <c r="R3" s="2">
        <v>0.44</v>
      </c>
      <c r="S3" s="2">
        <v>98.57</v>
      </c>
      <c r="T3" s="2">
        <v>0.99</v>
      </c>
      <c r="U3" s="2">
        <v>1380809</v>
      </c>
      <c r="V3" s="7">
        <v>60.677810668945313</v>
      </c>
      <c r="W3" s="7">
        <v>50.899547576904297</v>
      </c>
      <c r="X3" s="2">
        <v>330</v>
      </c>
    </row>
    <row r="4" spans="1:24" x14ac:dyDescent="0.25">
      <c r="A4" s="2" t="s">
        <v>4</v>
      </c>
      <c r="B4" s="3">
        <v>4.7</v>
      </c>
      <c r="C4" s="3">
        <v>6.1</v>
      </c>
      <c r="D4" s="3">
        <v>0</v>
      </c>
      <c r="E4" s="3">
        <v>10</v>
      </c>
      <c r="F4" s="3">
        <v>50</v>
      </c>
      <c r="G4" s="3">
        <v>0</v>
      </c>
      <c r="H4" s="3">
        <v>0</v>
      </c>
      <c r="I4" s="2">
        <v>0.09</v>
      </c>
      <c r="J4" s="2">
        <v>3</v>
      </c>
      <c r="K4" s="2" t="s">
        <v>88</v>
      </c>
      <c r="L4" s="4">
        <v>45888</v>
      </c>
      <c r="M4" s="2">
        <v>0</v>
      </c>
      <c r="N4" s="2" t="s">
        <v>214</v>
      </c>
      <c r="O4" s="12">
        <v>0.878</v>
      </c>
      <c r="P4" s="8">
        <v>6.06</v>
      </c>
      <c r="Q4" s="2">
        <v>76392</v>
      </c>
      <c r="R4" s="2">
        <v>0.47</v>
      </c>
      <c r="S4" s="2">
        <v>98.41</v>
      </c>
      <c r="T4" s="2">
        <v>1.1100000000000001</v>
      </c>
      <c r="U4" s="2">
        <v>1359544</v>
      </c>
      <c r="V4" s="7">
        <v>60.654537200927734</v>
      </c>
      <c r="W4" s="7">
        <v>56.935665130615234</v>
      </c>
      <c r="X4" s="2">
        <v>327</v>
      </c>
    </row>
    <row r="5" spans="1:24" x14ac:dyDescent="0.25">
      <c r="A5" s="2" t="s">
        <v>5</v>
      </c>
      <c r="B5" s="3">
        <v>4.7</v>
      </c>
      <c r="C5" s="3">
        <v>6.1</v>
      </c>
      <c r="D5" s="3">
        <v>0</v>
      </c>
      <c r="E5" s="3">
        <v>10</v>
      </c>
      <c r="F5" s="3">
        <v>0</v>
      </c>
      <c r="G5" s="3">
        <v>90</v>
      </c>
      <c r="H5" s="3">
        <v>0</v>
      </c>
      <c r="I5" s="2">
        <v>0.09</v>
      </c>
      <c r="J5" s="2">
        <v>4</v>
      </c>
      <c r="K5" s="2" t="s">
        <v>88</v>
      </c>
      <c r="L5" s="4">
        <v>45888</v>
      </c>
      <c r="M5" s="2">
        <v>0</v>
      </c>
      <c r="N5" s="2" t="s">
        <v>214</v>
      </c>
      <c r="O5" s="12">
        <v>0.90100000000000002</v>
      </c>
      <c r="P5" s="8">
        <v>6.06</v>
      </c>
      <c r="Q5" s="2">
        <v>76397</v>
      </c>
      <c r="R5" s="2">
        <v>0.49</v>
      </c>
      <c r="S5" s="2">
        <v>98.63</v>
      </c>
      <c r="T5" s="2">
        <v>0.88</v>
      </c>
      <c r="U5" s="2">
        <v>1376246</v>
      </c>
      <c r="V5" s="7">
        <v>61.006732940673828</v>
      </c>
      <c r="W5" s="7">
        <v>56.256198883056641</v>
      </c>
      <c r="X5" s="2">
        <v>324</v>
      </c>
    </row>
    <row r="6" spans="1:24" x14ac:dyDescent="0.25">
      <c r="A6" s="2" t="s">
        <v>6</v>
      </c>
      <c r="B6" s="3">
        <v>4.7</v>
      </c>
      <c r="C6" s="3">
        <v>6.1</v>
      </c>
      <c r="D6" s="3">
        <v>20</v>
      </c>
      <c r="E6" s="3">
        <v>45</v>
      </c>
      <c r="F6" s="3">
        <v>0</v>
      </c>
      <c r="G6" s="3">
        <v>0</v>
      </c>
      <c r="H6" s="3">
        <v>0</v>
      </c>
      <c r="I6" s="2">
        <v>0.09</v>
      </c>
      <c r="J6" s="2">
        <v>5</v>
      </c>
      <c r="K6" s="2" t="s">
        <v>88</v>
      </c>
      <c r="L6" s="4">
        <v>45888</v>
      </c>
      <c r="M6" s="2">
        <v>0</v>
      </c>
      <c r="N6" s="2" t="s">
        <v>214</v>
      </c>
      <c r="O6" s="12">
        <v>1.028</v>
      </c>
      <c r="P6" s="8">
        <v>6.07</v>
      </c>
      <c r="Q6" s="2">
        <v>76402</v>
      </c>
      <c r="R6" s="2">
        <v>1.37</v>
      </c>
      <c r="S6" s="2">
        <v>97.8</v>
      </c>
      <c r="T6" s="2">
        <v>0.83</v>
      </c>
      <c r="U6" s="2">
        <v>1626076</v>
      </c>
      <c r="V6" s="7">
        <v>57.715007781982422</v>
      </c>
      <c r="W6" s="7">
        <v>54.348690032958984</v>
      </c>
      <c r="X6" s="2">
        <v>328</v>
      </c>
    </row>
    <row r="7" spans="1:24" x14ac:dyDescent="0.25">
      <c r="A7" s="2" t="s">
        <v>7</v>
      </c>
      <c r="B7" s="3">
        <v>4.7</v>
      </c>
      <c r="C7" s="3">
        <v>6.1</v>
      </c>
      <c r="D7" s="3">
        <v>10</v>
      </c>
      <c r="E7" s="3">
        <v>10</v>
      </c>
      <c r="F7" s="3">
        <v>35</v>
      </c>
      <c r="G7" s="3">
        <v>0</v>
      </c>
      <c r="H7" s="3">
        <v>0</v>
      </c>
      <c r="I7" s="2">
        <v>0.09</v>
      </c>
      <c r="J7" s="2">
        <v>6</v>
      </c>
      <c r="K7" s="2" t="s">
        <v>88</v>
      </c>
      <c r="L7" s="4">
        <v>45888</v>
      </c>
      <c r="M7" s="2">
        <v>0</v>
      </c>
      <c r="N7" s="2" t="s">
        <v>214</v>
      </c>
      <c r="O7" s="12">
        <v>1.0189999999999999</v>
      </c>
      <c r="P7" s="8">
        <v>6.1</v>
      </c>
      <c r="Q7" s="2">
        <v>76407</v>
      </c>
      <c r="R7" s="2">
        <v>1.39</v>
      </c>
      <c r="S7" s="2">
        <v>97.59</v>
      </c>
      <c r="T7" s="2">
        <v>1.03</v>
      </c>
      <c r="U7" s="2">
        <v>1606692</v>
      </c>
      <c r="V7" s="7">
        <v>59.050693511962891</v>
      </c>
      <c r="W7" s="7">
        <v>54.836231231689453</v>
      </c>
      <c r="X7" s="2">
        <v>328</v>
      </c>
    </row>
    <row r="8" spans="1:24" x14ac:dyDescent="0.25">
      <c r="A8" s="2" t="s">
        <v>8</v>
      </c>
      <c r="B8" s="3">
        <v>4.7</v>
      </c>
      <c r="C8" s="3">
        <v>6.1</v>
      </c>
      <c r="D8" s="3">
        <v>20</v>
      </c>
      <c r="E8" s="3">
        <v>10</v>
      </c>
      <c r="F8" s="3">
        <v>0</v>
      </c>
      <c r="G8" s="3">
        <v>40</v>
      </c>
      <c r="H8" s="3">
        <v>0</v>
      </c>
      <c r="I8" s="2">
        <v>0.09</v>
      </c>
      <c r="J8" s="2">
        <v>7</v>
      </c>
      <c r="K8" s="2" t="s">
        <v>88</v>
      </c>
      <c r="L8" s="4">
        <v>45888</v>
      </c>
      <c r="M8" s="2">
        <v>0</v>
      </c>
      <c r="N8" s="2" t="s">
        <v>214</v>
      </c>
      <c r="O8" s="12">
        <v>1.0149999999999999</v>
      </c>
      <c r="P8" s="8">
        <v>6.08</v>
      </c>
      <c r="Q8" s="2">
        <v>76412</v>
      </c>
      <c r="R8" s="2">
        <v>1.43</v>
      </c>
      <c r="S8" s="2">
        <v>97.6</v>
      </c>
      <c r="T8" s="2">
        <v>0.97</v>
      </c>
      <c r="U8" s="2">
        <v>1606700</v>
      </c>
      <c r="V8" s="7">
        <v>58.027717590332031</v>
      </c>
      <c r="W8" s="7">
        <v>54.807151794433594</v>
      </c>
      <c r="X8" s="2">
        <v>337</v>
      </c>
    </row>
    <row r="9" spans="1:24" x14ac:dyDescent="0.25">
      <c r="A9" s="2" t="s">
        <v>2</v>
      </c>
      <c r="B9" s="3">
        <v>4.7</v>
      </c>
      <c r="C9" s="3">
        <v>6.1</v>
      </c>
      <c r="D9" s="3">
        <v>0</v>
      </c>
      <c r="E9" s="3">
        <v>20</v>
      </c>
      <c r="F9" s="3">
        <v>0</v>
      </c>
      <c r="G9" s="3">
        <v>0</v>
      </c>
      <c r="H9" s="3">
        <v>0</v>
      </c>
      <c r="I9" s="2">
        <v>0.09</v>
      </c>
      <c r="J9" s="2">
        <v>1</v>
      </c>
      <c r="K9" s="2" t="s">
        <v>89</v>
      </c>
      <c r="L9" s="4">
        <v>45888</v>
      </c>
      <c r="M9" s="2">
        <v>0</v>
      </c>
      <c r="N9" s="2" t="s">
        <v>214</v>
      </c>
      <c r="O9" s="12">
        <v>0.996</v>
      </c>
      <c r="P9" s="8">
        <v>6.09</v>
      </c>
      <c r="Q9" s="2">
        <v>76382</v>
      </c>
      <c r="R9" s="2">
        <v>0.56000000000000005</v>
      </c>
      <c r="S9" s="2">
        <v>98.55</v>
      </c>
      <c r="T9" s="2">
        <v>0.89</v>
      </c>
      <c r="U9" s="2">
        <v>1543215</v>
      </c>
      <c r="V9" s="7">
        <v>59.873512268066406</v>
      </c>
      <c r="W9" s="7">
        <v>62.944774627685547</v>
      </c>
      <c r="X9" s="2">
        <v>74</v>
      </c>
    </row>
    <row r="10" spans="1:24" x14ac:dyDescent="0.25">
      <c r="A10" s="2" t="s">
        <v>3</v>
      </c>
      <c r="B10" s="3">
        <v>4.7</v>
      </c>
      <c r="C10" s="3">
        <v>6.1</v>
      </c>
      <c r="D10" s="3">
        <v>0</v>
      </c>
      <c r="E10" s="3">
        <v>95</v>
      </c>
      <c r="F10" s="3">
        <v>0</v>
      </c>
      <c r="G10" s="3">
        <v>0</v>
      </c>
      <c r="H10" s="3">
        <v>0</v>
      </c>
      <c r="I10" s="2">
        <v>0.09</v>
      </c>
      <c r="J10" s="2">
        <v>2</v>
      </c>
      <c r="K10" s="2" t="s">
        <v>89</v>
      </c>
      <c r="L10" s="4">
        <v>45888</v>
      </c>
      <c r="M10" s="2">
        <v>0</v>
      </c>
      <c r="N10" s="2" t="s">
        <v>214</v>
      </c>
      <c r="O10" s="12">
        <v>0.878</v>
      </c>
      <c r="P10" s="8">
        <v>6.05</v>
      </c>
      <c r="Q10" s="2">
        <v>76387</v>
      </c>
      <c r="R10" s="2">
        <v>0.44</v>
      </c>
      <c r="S10" s="2">
        <v>98.57</v>
      </c>
      <c r="T10" s="2">
        <v>0.99</v>
      </c>
      <c r="U10" s="2">
        <v>1380809</v>
      </c>
      <c r="V10" s="7">
        <v>60.677810668945313</v>
      </c>
      <c r="W10" s="7">
        <v>50.899547576904297</v>
      </c>
      <c r="X10" s="2">
        <v>330</v>
      </c>
    </row>
    <row r="11" spans="1:24" x14ac:dyDescent="0.25">
      <c r="A11" s="2" t="s">
        <v>4</v>
      </c>
      <c r="B11" s="3">
        <v>4.7</v>
      </c>
      <c r="C11" s="3">
        <v>6.1</v>
      </c>
      <c r="D11" s="3">
        <v>0</v>
      </c>
      <c r="E11" s="3">
        <v>10</v>
      </c>
      <c r="F11" s="3">
        <v>50</v>
      </c>
      <c r="G11" s="3">
        <v>0</v>
      </c>
      <c r="H11" s="3">
        <v>0</v>
      </c>
      <c r="I11" s="2">
        <v>0.09</v>
      </c>
      <c r="J11" s="2">
        <v>3</v>
      </c>
      <c r="K11" s="2" t="s">
        <v>89</v>
      </c>
      <c r="L11" s="4">
        <v>45888</v>
      </c>
      <c r="M11" s="2">
        <v>0</v>
      </c>
      <c r="N11" s="2" t="s">
        <v>214</v>
      </c>
      <c r="O11" s="12">
        <v>0.878</v>
      </c>
      <c r="P11" s="8">
        <v>6.06</v>
      </c>
      <c r="Q11" s="2">
        <v>76392</v>
      </c>
      <c r="R11" s="2">
        <v>0.47</v>
      </c>
      <c r="S11" s="2">
        <v>98.41</v>
      </c>
      <c r="T11" s="2">
        <v>1.1100000000000001</v>
      </c>
      <c r="U11" s="2">
        <v>1359544</v>
      </c>
      <c r="V11" s="7">
        <v>60.654537200927734</v>
      </c>
      <c r="W11" s="7">
        <v>56.935665130615234</v>
      </c>
      <c r="X11" s="2">
        <v>327</v>
      </c>
    </row>
    <row r="12" spans="1:24" x14ac:dyDescent="0.25">
      <c r="A12" s="2" t="s">
        <v>5</v>
      </c>
      <c r="B12" s="3">
        <v>4.7</v>
      </c>
      <c r="C12" s="3">
        <v>6.1</v>
      </c>
      <c r="D12" s="3">
        <v>0</v>
      </c>
      <c r="E12" s="3">
        <v>10</v>
      </c>
      <c r="F12" s="3">
        <v>0</v>
      </c>
      <c r="G12" s="3">
        <v>90</v>
      </c>
      <c r="H12" s="3">
        <v>0</v>
      </c>
      <c r="I12" s="2">
        <v>0.09</v>
      </c>
      <c r="J12" s="2">
        <v>4</v>
      </c>
      <c r="K12" s="2" t="s">
        <v>89</v>
      </c>
      <c r="L12" s="4">
        <v>45888</v>
      </c>
      <c r="M12" s="2">
        <v>0</v>
      </c>
      <c r="N12" s="2" t="s">
        <v>214</v>
      </c>
      <c r="O12" s="12">
        <v>0.90100000000000002</v>
      </c>
      <c r="P12" s="8">
        <v>6.06</v>
      </c>
      <c r="Q12" s="2">
        <v>76397</v>
      </c>
      <c r="R12" s="2">
        <v>0.49</v>
      </c>
      <c r="S12" s="2">
        <v>98.63</v>
      </c>
      <c r="T12" s="2">
        <v>0.88</v>
      </c>
      <c r="U12" s="2">
        <v>1376246</v>
      </c>
      <c r="V12" s="7">
        <v>61.006732940673828</v>
      </c>
      <c r="W12" s="7">
        <v>56.256198883056641</v>
      </c>
      <c r="X12" s="2">
        <v>324</v>
      </c>
    </row>
    <row r="13" spans="1:24" x14ac:dyDescent="0.25">
      <c r="A13" s="2" t="s">
        <v>6</v>
      </c>
      <c r="B13" s="3">
        <v>4.7</v>
      </c>
      <c r="C13" s="3">
        <v>6.1</v>
      </c>
      <c r="D13" s="3">
        <v>20</v>
      </c>
      <c r="E13" s="3">
        <v>45</v>
      </c>
      <c r="F13" s="3">
        <v>0</v>
      </c>
      <c r="G13" s="3">
        <v>0</v>
      </c>
      <c r="H13" s="3">
        <v>0</v>
      </c>
      <c r="I13" s="2">
        <v>0.09</v>
      </c>
      <c r="J13" s="2">
        <v>5</v>
      </c>
      <c r="K13" s="2" t="s">
        <v>89</v>
      </c>
      <c r="L13" s="4">
        <v>45888</v>
      </c>
      <c r="M13" s="2">
        <v>0</v>
      </c>
      <c r="N13" s="2" t="s">
        <v>214</v>
      </c>
      <c r="O13" s="12">
        <v>1.028</v>
      </c>
      <c r="P13" s="8">
        <v>6.07</v>
      </c>
      <c r="Q13" s="2">
        <v>76402</v>
      </c>
      <c r="R13" s="2">
        <v>1.37</v>
      </c>
      <c r="S13" s="2">
        <v>97.8</v>
      </c>
      <c r="T13" s="2">
        <v>0.83</v>
      </c>
      <c r="U13" s="2">
        <v>1626076</v>
      </c>
      <c r="V13" s="7">
        <v>57.715007781982422</v>
      </c>
      <c r="W13" s="7">
        <v>54.348690032958984</v>
      </c>
      <c r="X13" s="2">
        <v>328</v>
      </c>
    </row>
    <row r="14" spans="1:24" x14ac:dyDescent="0.25">
      <c r="A14" s="2" t="s">
        <v>7</v>
      </c>
      <c r="B14" s="3">
        <v>4.7</v>
      </c>
      <c r="C14" s="3">
        <v>6.1</v>
      </c>
      <c r="D14" s="3">
        <v>10</v>
      </c>
      <c r="E14" s="3">
        <v>10</v>
      </c>
      <c r="F14" s="3">
        <v>35</v>
      </c>
      <c r="G14" s="3">
        <v>0</v>
      </c>
      <c r="H14" s="3">
        <v>0</v>
      </c>
      <c r="I14" s="2">
        <v>0.09</v>
      </c>
      <c r="J14" s="2">
        <v>6</v>
      </c>
      <c r="K14" s="2" t="s">
        <v>89</v>
      </c>
      <c r="L14" s="4">
        <v>45888</v>
      </c>
      <c r="M14" s="2">
        <v>0</v>
      </c>
      <c r="N14" s="2" t="s">
        <v>214</v>
      </c>
      <c r="O14" s="12">
        <v>1.0189999999999999</v>
      </c>
      <c r="P14" s="8">
        <v>6.1</v>
      </c>
      <c r="Q14" s="2">
        <v>76407</v>
      </c>
      <c r="R14" s="2">
        <v>1.39</v>
      </c>
      <c r="S14" s="2">
        <v>97.59</v>
      </c>
      <c r="T14" s="2">
        <v>1.03</v>
      </c>
      <c r="U14" s="2">
        <v>1606692</v>
      </c>
      <c r="V14" s="7">
        <v>59.050693511962891</v>
      </c>
      <c r="W14" s="7">
        <v>54.836231231689453</v>
      </c>
      <c r="X14" s="2">
        <v>328</v>
      </c>
    </row>
    <row r="15" spans="1:24" x14ac:dyDescent="0.25">
      <c r="A15" s="2" t="s">
        <v>8</v>
      </c>
      <c r="B15" s="3">
        <v>4.7</v>
      </c>
      <c r="C15" s="3">
        <v>6.1</v>
      </c>
      <c r="D15" s="3">
        <v>20</v>
      </c>
      <c r="E15" s="3">
        <v>10</v>
      </c>
      <c r="F15" s="3">
        <v>0</v>
      </c>
      <c r="G15" s="3">
        <v>40</v>
      </c>
      <c r="H15" s="3">
        <v>0</v>
      </c>
      <c r="I15" s="2">
        <v>0.09</v>
      </c>
      <c r="J15" s="2">
        <v>7</v>
      </c>
      <c r="K15" s="2" t="s">
        <v>89</v>
      </c>
      <c r="L15" s="4">
        <v>45888</v>
      </c>
      <c r="M15" s="2">
        <v>0</v>
      </c>
      <c r="N15" s="2" t="s">
        <v>214</v>
      </c>
      <c r="O15" s="12">
        <v>1.0149999999999999</v>
      </c>
      <c r="P15" s="8">
        <v>6.08</v>
      </c>
      <c r="Q15" s="2">
        <v>76412</v>
      </c>
      <c r="R15" s="2">
        <v>1.43</v>
      </c>
      <c r="S15" s="2">
        <v>97.6</v>
      </c>
      <c r="T15" s="2">
        <v>0.97</v>
      </c>
      <c r="U15" s="2">
        <v>1606700</v>
      </c>
      <c r="V15" s="7">
        <v>58.027717590332031</v>
      </c>
      <c r="W15" s="7">
        <v>54.807151794433594</v>
      </c>
      <c r="X15" s="2">
        <v>337</v>
      </c>
    </row>
    <row r="16" spans="1:24" x14ac:dyDescent="0.25">
      <c r="A16" s="2" t="s">
        <v>2</v>
      </c>
      <c r="B16" s="3">
        <v>4.7</v>
      </c>
      <c r="C16" s="3">
        <v>6.1</v>
      </c>
      <c r="D16" s="3">
        <v>0</v>
      </c>
      <c r="E16" s="3">
        <v>20</v>
      </c>
      <c r="F16" s="3">
        <v>0</v>
      </c>
      <c r="G16" s="3">
        <v>0</v>
      </c>
      <c r="H16" s="3">
        <v>0</v>
      </c>
      <c r="I16" s="2">
        <v>0.09</v>
      </c>
      <c r="J16" s="2">
        <v>1</v>
      </c>
      <c r="K16" s="6" t="s">
        <v>90</v>
      </c>
      <c r="L16" s="4">
        <v>45888</v>
      </c>
      <c r="M16" s="2">
        <v>0</v>
      </c>
      <c r="N16" s="2" t="s">
        <v>214</v>
      </c>
      <c r="O16" s="12">
        <v>0.996</v>
      </c>
      <c r="P16" s="8">
        <v>6.09</v>
      </c>
      <c r="Q16" s="2">
        <v>76382</v>
      </c>
      <c r="R16" s="2">
        <v>0.56000000000000005</v>
      </c>
      <c r="S16" s="2">
        <v>98.55</v>
      </c>
      <c r="T16" s="2">
        <v>0.89</v>
      </c>
      <c r="U16" s="2">
        <v>1543215</v>
      </c>
      <c r="V16" s="7">
        <v>59.873512268066406</v>
      </c>
      <c r="W16" s="7">
        <v>62.944774627685547</v>
      </c>
      <c r="X16" s="2">
        <v>74</v>
      </c>
    </row>
    <row r="17" spans="1:24" x14ac:dyDescent="0.25">
      <c r="A17" s="2" t="s">
        <v>3</v>
      </c>
      <c r="B17" s="3">
        <v>4.7</v>
      </c>
      <c r="C17" s="3">
        <v>6.1</v>
      </c>
      <c r="D17" s="3">
        <v>0</v>
      </c>
      <c r="E17" s="3">
        <v>95</v>
      </c>
      <c r="F17" s="3">
        <v>0</v>
      </c>
      <c r="G17" s="3">
        <v>0</v>
      </c>
      <c r="H17" s="3">
        <v>0</v>
      </c>
      <c r="I17" s="2">
        <v>0.09</v>
      </c>
      <c r="J17" s="2">
        <v>2</v>
      </c>
      <c r="K17" s="6" t="s">
        <v>90</v>
      </c>
      <c r="L17" s="4">
        <v>45888</v>
      </c>
      <c r="M17" s="2">
        <v>0</v>
      </c>
      <c r="N17" s="2" t="s">
        <v>214</v>
      </c>
      <c r="O17" s="12">
        <v>0.878</v>
      </c>
      <c r="P17" s="8">
        <v>6.05</v>
      </c>
      <c r="Q17" s="2">
        <v>76387</v>
      </c>
      <c r="R17" s="2">
        <v>0.44</v>
      </c>
      <c r="S17" s="2">
        <v>98.57</v>
      </c>
      <c r="T17" s="2">
        <v>0.99</v>
      </c>
      <c r="U17" s="2">
        <v>1380809</v>
      </c>
      <c r="V17" s="7">
        <v>60.677810668945313</v>
      </c>
      <c r="W17" s="7">
        <v>50.899547576904297</v>
      </c>
      <c r="X17" s="2">
        <v>330</v>
      </c>
    </row>
    <row r="18" spans="1:24" x14ac:dyDescent="0.25">
      <c r="A18" s="2" t="s">
        <v>4</v>
      </c>
      <c r="B18" s="3">
        <v>4.7</v>
      </c>
      <c r="C18" s="3">
        <v>6.1</v>
      </c>
      <c r="D18" s="3">
        <v>0</v>
      </c>
      <c r="E18" s="3">
        <v>10</v>
      </c>
      <c r="F18" s="3">
        <v>50</v>
      </c>
      <c r="G18" s="3">
        <v>0</v>
      </c>
      <c r="H18" s="3">
        <v>0</v>
      </c>
      <c r="I18" s="2">
        <v>0.09</v>
      </c>
      <c r="J18" s="2">
        <v>3</v>
      </c>
      <c r="K18" s="6" t="s">
        <v>90</v>
      </c>
      <c r="L18" s="4">
        <v>45888</v>
      </c>
      <c r="M18" s="2">
        <v>0</v>
      </c>
      <c r="N18" s="2" t="s">
        <v>214</v>
      </c>
      <c r="O18" s="12">
        <v>0.878</v>
      </c>
      <c r="P18" s="8">
        <v>6.06</v>
      </c>
      <c r="Q18" s="2">
        <v>76392</v>
      </c>
      <c r="R18" s="2">
        <v>0.47</v>
      </c>
      <c r="S18" s="2">
        <v>98.41</v>
      </c>
      <c r="T18" s="2">
        <v>1.1100000000000001</v>
      </c>
      <c r="U18" s="2">
        <v>1359544</v>
      </c>
      <c r="V18" s="7">
        <v>60.654537200927734</v>
      </c>
      <c r="W18" s="7">
        <v>56.935665130615234</v>
      </c>
      <c r="X18" s="2">
        <v>327</v>
      </c>
    </row>
    <row r="19" spans="1:24" x14ac:dyDescent="0.25">
      <c r="A19" s="2" t="s">
        <v>5</v>
      </c>
      <c r="B19" s="3">
        <v>4.7</v>
      </c>
      <c r="C19" s="3">
        <v>6.1</v>
      </c>
      <c r="D19" s="3">
        <v>0</v>
      </c>
      <c r="E19" s="3">
        <v>10</v>
      </c>
      <c r="F19" s="3">
        <v>0</v>
      </c>
      <c r="G19" s="3">
        <v>90</v>
      </c>
      <c r="H19" s="3">
        <v>0</v>
      </c>
      <c r="I19" s="2">
        <v>0.09</v>
      </c>
      <c r="J19" s="2">
        <v>4</v>
      </c>
      <c r="K19" s="6" t="s">
        <v>90</v>
      </c>
      <c r="L19" s="4">
        <v>45888</v>
      </c>
      <c r="M19" s="2">
        <v>0</v>
      </c>
      <c r="N19" s="2" t="s">
        <v>214</v>
      </c>
      <c r="O19" s="12">
        <v>0.90100000000000002</v>
      </c>
      <c r="P19" s="8">
        <v>6.06</v>
      </c>
      <c r="Q19" s="2">
        <v>76397</v>
      </c>
      <c r="R19" s="2">
        <v>0.49</v>
      </c>
      <c r="S19" s="2">
        <v>98.63</v>
      </c>
      <c r="T19" s="2">
        <v>0.88</v>
      </c>
      <c r="U19" s="2">
        <v>1376246</v>
      </c>
      <c r="V19" s="7">
        <v>61.006732940673828</v>
      </c>
      <c r="W19" s="7">
        <v>56.256198883056641</v>
      </c>
      <c r="X19" s="2">
        <v>324</v>
      </c>
    </row>
    <row r="20" spans="1:24" x14ac:dyDescent="0.25">
      <c r="A20" s="2" t="s">
        <v>6</v>
      </c>
      <c r="B20" s="3">
        <v>4.7</v>
      </c>
      <c r="C20" s="3">
        <v>6.1</v>
      </c>
      <c r="D20" s="3">
        <v>20</v>
      </c>
      <c r="E20" s="3">
        <v>45</v>
      </c>
      <c r="F20" s="3">
        <v>0</v>
      </c>
      <c r="G20" s="3">
        <v>0</v>
      </c>
      <c r="H20" s="3">
        <v>0</v>
      </c>
      <c r="I20" s="2">
        <v>0.09</v>
      </c>
      <c r="J20" s="2">
        <v>5</v>
      </c>
      <c r="K20" s="6" t="s">
        <v>90</v>
      </c>
      <c r="L20" s="4">
        <v>45888</v>
      </c>
      <c r="M20" s="2">
        <v>0</v>
      </c>
      <c r="N20" s="2" t="s">
        <v>214</v>
      </c>
      <c r="O20" s="12">
        <v>1.028</v>
      </c>
      <c r="P20" s="8">
        <v>6.07</v>
      </c>
      <c r="Q20" s="2">
        <v>76402</v>
      </c>
      <c r="R20" s="2">
        <v>1.37</v>
      </c>
      <c r="S20" s="2">
        <v>97.8</v>
      </c>
      <c r="T20" s="2">
        <v>0.83</v>
      </c>
      <c r="U20" s="2">
        <v>1626076</v>
      </c>
      <c r="V20" s="7">
        <v>57.715007781982422</v>
      </c>
      <c r="W20" s="7">
        <v>54.348690032958984</v>
      </c>
      <c r="X20" s="2">
        <v>328</v>
      </c>
    </row>
    <row r="21" spans="1:24" x14ac:dyDescent="0.25">
      <c r="A21" s="2" t="s">
        <v>7</v>
      </c>
      <c r="B21" s="3">
        <v>4.7</v>
      </c>
      <c r="C21" s="3">
        <v>6.1</v>
      </c>
      <c r="D21" s="3">
        <v>10</v>
      </c>
      <c r="E21" s="3">
        <v>10</v>
      </c>
      <c r="F21" s="3">
        <v>35</v>
      </c>
      <c r="G21" s="3">
        <v>0</v>
      </c>
      <c r="H21" s="3">
        <v>0</v>
      </c>
      <c r="I21" s="2">
        <v>0.09</v>
      </c>
      <c r="J21" s="2">
        <v>6</v>
      </c>
      <c r="K21" s="6" t="s">
        <v>90</v>
      </c>
      <c r="L21" s="4">
        <v>45888</v>
      </c>
      <c r="M21" s="2">
        <v>0</v>
      </c>
      <c r="N21" s="2" t="s">
        <v>214</v>
      </c>
      <c r="O21" s="12">
        <v>1.0189999999999999</v>
      </c>
      <c r="P21" s="8">
        <v>6.1</v>
      </c>
      <c r="Q21" s="2">
        <v>76407</v>
      </c>
      <c r="R21" s="2">
        <v>1.39</v>
      </c>
      <c r="S21" s="2">
        <v>97.59</v>
      </c>
      <c r="T21" s="2">
        <v>1.03</v>
      </c>
      <c r="U21" s="2">
        <v>1606692</v>
      </c>
      <c r="V21" s="7">
        <v>59.050693511962891</v>
      </c>
      <c r="W21" s="7">
        <v>54.836231231689453</v>
      </c>
      <c r="X21" s="2">
        <v>328</v>
      </c>
    </row>
    <row r="22" spans="1:24" x14ac:dyDescent="0.25">
      <c r="A22" s="2" t="s">
        <v>8</v>
      </c>
      <c r="B22" s="3">
        <v>4.7</v>
      </c>
      <c r="C22" s="3">
        <v>6.1</v>
      </c>
      <c r="D22" s="3">
        <v>20</v>
      </c>
      <c r="E22" s="3">
        <v>10</v>
      </c>
      <c r="F22" s="3">
        <v>0</v>
      </c>
      <c r="G22" s="3">
        <v>40</v>
      </c>
      <c r="H22" s="3">
        <v>0</v>
      </c>
      <c r="I22" s="2">
        <v>0.09</v>
      </c>
      <c r="J22" s="2">
        <v>7</v>
      </c>
      <c r="K22" s="6" t="s">
        <v>90</v>
      </c>
      <c r="L22" s="4">
        <v>45888</v>
      </c>
      <c r="M22" s="2">
        <v>0</v>
      </c>
      <c r="N22" s="2" t="s">
        <v>214</v>
      </c>
      <c r="O22" s="12">
        <v>1.0149999999999999</v>
      </c>
      <c r="P22" s="8">
        <v>6.08</v>
      </c>
      <c r="Q22" s="2">
        <v>76412</v>
      </c>
      <c r="R22" s="2">
        <v>1.43</v>
      </c>
      <c r="S22" s="2">
        <v>97.6</v>
      </c>
      <c r="T22" s="2">
        <v>0.97</v>
      </c>
      <c r="U22" s="2">
        <v>1606700</v>
      </c>
      <c r="V22" s="7">
        <v>58.027717590332031</v>
      </c>
      <c r="W22" s="7">
        <v>54.807151794433594</v>
      </c>
      <c r="X22" s="2">
        <v>337</v>
      </c>
    </row>
    <row r="23" spans="1:24" x14ac:dyDescent="0.25">
      <c r="A23" s="2" t="s">
        <v>2</v>
      </c>
      <c r="B23" s="3">
        <v>4.7</v>
      </c>
      <c r="C23" s="3">
        <v>6.1</v>
      </c>
      <c r="D23" s="3">
        <v>0</v>
      </c>
      <c r="E23" s="3">
        <v>20</v>
      </c>
      <c r="F23" s="3">
        <v>0</v>
      </c>
      <c r="G23" s="3">
        <v>0</v>
      </c>
      <c r="H23" s="3">
        <v>0</v>
      </c>
      <c r="I23" s="2">
        <v>0.09</v>
      </c>
      <c r="J23" s="2">
        <v>1</v>
      </c>
      <c r="K23" s="2" t="s">
        <v>91</v>
      </c>
      <c r="L23" s="4">
        <v>45888</v>
      </c>
      <c r="M23" s="2" t="s">
        <v>158</v>
      </c>
      <c r="N23" s="2" t="s">
        <v>214</v>
      </c>
      <c r="O23" s="12">
        <v>0.996</v>
      </c>
      <c r="P23" s="8">
        <v>6.09</v>
      </c>
      <c r="Q23" s="2">
        <v>76382</v>
      </c>
      <c r="R23" s="2">
        <v>0.56000000000000005</v>
      </c>
      <c r="S23" s="2">
        <v>98.55</v>
      </c>
      <c r="T23" s="2">
        <v>0.89</v>
      </c>
      <c r="U23" s="2">
        <v>1543215</v>
      </c>
      <c r="V23" s="7">
        <v>59.873512268066406</v>
      </c>
      <c r="W23" s="7">
        <v>62.944774627685547</v>
      </c>
      <c r="X23" s="2">
        <v>74</v>
      </c>
    </row>
    <row r="24" spans="1:24" x14ac:dyDescent="0.25">
      <c r="A24" s="2" t="s">
        <v>3</v>
      </c>
      <c r="B24" s="3">
        <v>4.7</v>
      </c>
      <c r="C24" s="3">
        <v>6.1</v>
      </c>
      <c r="D24" s="3">
        <v>0</v>
      </c>
      <c r="E24" s="3">
        <v>95</v>
      </c>
      <c r="F24" s="3">
        <v>0</v>
      </c>
      <c r="G24" s="3">
        <v>0</v>
      </c>
      <c r="H24" s="3">
        <v>0</v>
      </c>
      <c r="I24" s="2">
        <v>0.09</v>
      </c>
      <c r="J24" s="2">
        <v>2</v>
      </c>
      <c r="K24" s="2" t="s">
        <v>91</v>
      </c>
      <c r="L24" s="4">
        <v>45888</v>
      </c>
      <c r="M24" s="2" t="s">
        <v>158</v>
      </c>
      <c r="N24" s="2" t="s">
        <v>214</v>
      </c>
      <c r="O24" s="12">
        <v>0.878</v>
      </c>
      <c r="P24" s="8">
        <v>6.05</v>
      </c>
      <c r="Q24" s="2">
        <v>76387</v>
      </c>
      <c r="R24" s="2">
        <v>0.44</v>
      </c>
      <c r="S24" s="2">
        <v>98.57</v>
      </c>
      <c r="T24" s="2">
        <v>0.99</v>
      </c>
      <c r="U24" s="2">
        <v>1380809</v>
      </c>
      <c r="V24" s="7">
        <v>60.677810668945313</v>
      </c>
      <c r="W24" s="7">
        <v>50.899547576904297</v>
      </c>
      <c r="X24" s="2">
        <v>330</v>
      </c>
    </row>
    <row r="25" spans="1:24" x14ac:dyDescent="0.25">
      <c r="A25" s="2" t="s">
        <v>4</v>
      </c>
      <c r="B25" s="3">
        <v>4.7</v>
      </c>
      <c r="C25" s="3">
        <v>6.1</v>
      </c>
      <c r="D25" s="3">
        <v>0</v>
      </c>
      <c r="E25" s="3">
        <v>10</v>
      </c>
      <c r="F25" s="3">
        <v>50</v>
      </c>
      <c r="G25" s="3">
        <v>0</v>
      </c>
      <c r="H25" s="3">
        <v>0</v>
      </c>
      <c r="I25" s="2">
        <v>0.09</v>
      </c>
      <c r="J25" s="2">
        <v>3</v>
      </c>
      <c r="K25" s="2" t="s">
        <v>91</v>
      </c>
      <c r="L25" s="4">
        <v>45888</v>
      </c>
      <c r="M25" s="2" t="s">
        <v>158</v>
      </c>
      <c r="N25" s="2" t="s">
        <v>214</v>
      </c>
      <c r="O25" s="12">
        <v>0.878</v>
      </c>
      <c r="P25" s="8">
        <v>6.06</v>
      </c>
      <c r="Q25" s="2">
        <v>76392</v>
      </c>
      <c r="R25" s="2">
        <v>0.47</v>
      </c>
      <c r="S25" s="2">
        <v>98.41</v>
      </c>
      <c r="T25" s="2">
        <v>1.1100000000000001</v>
      </c>
      <c r="U25" s="2">
        <v>1359544</v>
      </c>
      <c r="V25" s="7">
        <v>60.654537200927734</v>
      </c>
      <c r="W25" s="7">
        <v>56.935665130615234</v>
      </c>
      <c r="X25" s="2">
        <v>327</v>
      </c>
    </row>
    <row r="26" spans="1:24" x14ac:dyDescent="0.25">
      <c r="A26" s="2" t="s">
        <v>5</v>
      </c>
      <c r="B26" s="3">
        <v>4.7</v>
      </c>
      <c r="C26" s="3">
        <v>6.1</v>
      </c>
      <c r="D26" s="3">
        <v>0</v>
      </c>
      <c r="E26" s="3">
        <v>10</v>
      </c>
      <c r="F26" s="3">
        <v>0</v>
      </c>
      <c r="G26" s="3">
        <v>90</v>
      </c>
      <c r="H26" s="3">
        <v>0</v>
      </c>
      <c r="I26" s="2">
        <v>0.09</v>
      </c>
      <c r="J26" s="2">
        <v>4</v>
      </c>
      <c r="K26" s="2" t="s">
        <v>91</v>
      </c>
      <c r="L26" s="4">
        <v>45888</v>
      </c>
      <c r="M26" s="2" t="s">
        <v>158</v>
      </c>
      <c r="N26" s="2" t="s">
        <v>214</v>
      </c>
      <c r="O26" s="12">
        <v>0.90100000000000002</v>
      </c>
      <c r="P26" s="8">
        <v>6.06</v>
      </c>
      <c r="Q26" s="2">
        <v>76397</v>
      </c>
      <c r="R26" s="2">
        <v>0.49</v>
      </c>
      <c r="S26" s="2">
        <v>98.63</v>
      </c>
      <c r="T26" s="2">
        <v>0.88</v>
      </c>
      <c r="U26" s="2">
        <v>1376246</v>
      </c>
      <c r="V26" s="7">
        <v>61.006732940673828</v>
      </c>
      <c r="W26" s="7">
        <v>56.256198883056641</v>
      </c>
      <c r="X26" s="2">
        <v>324</v>
      </c>
    </row>
    <row r="27" spans="1:24" x14ac:dyDescent="0.25">
      <c r="A27" s="2" t="s">
        <v>6</v>
      </c>
      <c r="B27" s="3">
        <v>4.7</v>
      </c>
      <c r="C27" s="3">
        <v>6.1</v>
      </c>
      <c r="D27" s="3">
        <v>20</v>
      </c>
      <c r="E27" s="3">
        <v>45</v>
      </c>
      <c r="F27" s="3">
        <v>0</v>
      </c>
      <c r="G27" s="3">
        <v>0</v>
      </c>
      <c r="H27" s="3">
        <v>0</v>
      </c>
      <c r="I27" s="2">
        <v>0.09</v>
      </c>
      <c r="J27" s="2">
        <v>5</v>
      </c>
      <c r="K27" s="2" t="s">
        <v>91</v>
      </c>
      <c r="L27" s="4">
        <v>45888</v>
      </c>
      <c r="M27" s="2" t="s">
        <v>158</v>
      </c>
      <c r="N27" s="2" t="s">
        <v>214</v>
      </c>
      <c r="O27" s="12">
        <v>1.028</v>
      </c>
      <c r="P27" s="8">
        <v>6.07</v>
      </c>
      <c r="Q27" s="2">
        <v>76402</v>
      </c>
      <c r="R27" s="2">
        <v>1.37</v>
      </c>
      <c r="S27" s="2">
        <v>97.8</v>
      </c>
      <c r="T27" s="2">
        <v>0.83</v>
      </c>
      <c r="U27" s="2">
        <v>1626076</v>
      </c>
      <c r="V27" s="7">
        <v>57.715007781982422</v>
      </c>
      <c r="W27" s="7">
        <v>54.348690032958984</v>
      </c>
      <c r="X27" s="2">
        <v>328</v>
      </c>
    </row>
    <row r="28" spans="1:24" x14ac:dyDescent="0.25">
      <c r="A28" s="2" t="s">
        <v>7</v>
      </c>
      <c r="B28" s="3">
        <v>4.7</v>
      </c>
      <c r="C28" s="3">
        <v>6.1</v>
      </c>
      <c r="D28" s="3">
        <v>10</v>
      </c>
      <c r="E28" s="3">
        <v>10</v>
      </c>
      <c r="F28" s="3">
        <v>35</v>
      </c>
      <c r="G28" s="3">
        <v>0</v>
      </c>
      <c r="H28" s="3">
        <v>0</v>
      </c>
      <c r="I28" s="2">
        <v>0.09</v>
      </c>
      <c r="J28" s="2">
        <v>6</v>
      </c>
      <c r="K28" s="2" t="s">
        <v>91</v>
      </c>
      <c r="L28" s="4">
        <v>45888</v>
      </c>
      <c r="M28" s="2" t="s">
        <v>158</v>
      </c>
      <c r="N28" s="2" t="s">
        <v>214</v>
      </c>
      <c r="O28" s="12">
        <v>1.0189999999999999</v>
      </c>
      <c r="P28" s="8">
        <v>6.1</v>
      </c>
      <c r="Q28" s="2">
        <v>76407</v>
      </c>
      <c r="R28" s="2">
        <v>1.39</v>
      </c>
      <c r="S28" s="2">
        <v>97.59</v>
      </c>
      <c r="T28" s="2">
        <v>1.03</v>
      </c>
      <c r="U28" s="2">
        <v>1606692</v>
      </c>
      <c r="V28" s="7">
        <v>59.050693511962891</v>
      </c>
      <c r="W28" s="7">
        <v>54.836231231689453</v>
      </c>
      <c r="X28" s="2">
        <v>328</v>
      </c>
    </row>
    <row r="29" spans="1:24" x14ac:dyDescent="0.25">
      <c r="A29" s="2" t="s">
        <v>8</v>
      </c>
      <c r="B29" s="3">
        <v>4.7</v>
      </c>
      <c r="C29" s="3">
        <v>6.1</v>
      </c>
      <c r="D29" s="3">
        <v>20</v>
      </c>
      <c r="E29" s="3">
        <v>10</v>
      </c>
      <c r="F29" s="3">
        <v>0</v>
      </c>
      <c r="G29" s="3">
        <v>40</v>
      </c>
      <c r="H29" s="3">
        <v>0</v>
      </c>
      <c r="I29" s="2">
        <v>0.09</v>
      </c>
      <c r="J29" s="2">
        <v>7</v>
      </c>
      <c r="K29" s="2" t="s">
        <v>91</v>
      </c>
      <c r="L29" s="4">
        <v>45888</v>
      </c>
      <c r="M29" s="2" t="s">
        <v>158</v>
      </c>
      <c r="N29" s="2" t="s">
        <v>214</v>
      </c>
      <c r="O29" s="12">
        <v>1.0149999999999999</v>
      </c>
      <c r="P29" s="8">
        <v>6.08</v>
      </c>
      <c r="Q29" s="2">
        <v>76412</v>
      </c>
      <c r="R29" s="2">
        <v>1.43</v>
      </c>
      <c r="S29" s="2">
        <v>97.6</v>
      </c>
      <c r="T29" s="2">
        <v>0.97</v>
      </c>
      <c r="U29" s="2">
        <v>1606700</v>
      </c>
      <c r="V29" s="7">
        <v>58.027717590332031</v>
      </c>
      <c r="W29" s="7">
        <v>54.807151794433594</v>
      </c>
      <c r="X29" s="2">
        <v>337</v>
      </c>
    </row>
    <row r="30" spans="1:24" x14ac:dyDescent="0.25">
      <c r="A30" s="2" t="s">
        <v>159</v>
      </c>
      <c r="B30" s="3">
        <v>4.7</v>
      </c>
      <c r="C30" s="3">
        <v>6.1</v>
      </c>
      <c r="D30" s="3">
        <v>0</v>
      </c>
      <c r="E30" s="3">
        <v>20</v>
      </c>
      <c r="F30" s="3">
        <v>0</v>
      </c>
      <c r="G30" s="3">
        <v>0</v>
      </c>
      <c r="H30" s="3">
        <v>0</v>
      </c>
      <c r="I30" s="2">
        <v>0.09</v>
      </c>
      <c r="J30" s="2">
        <v>1</v>
      </c>
      <c r="K30" s="2" t="s">
        <v>89</v>
      </c>
      <c r="L30" s="4">
        <v>45891</v>
      </c>
      <c r="M30" s="8">
        <f>ROUND((L30-$L$2)/30.5,2)</f>
        <v>0.1</v>
      </c>
      <c r="O30" s="12"/>
      <c r="P30" s="8"/>
      <c r="Q30" s="2">
        <v>76980</v>
      </c>
      <c r="R30" s="2">
        <v>0.6</v>
      </c>
      <c r="S30" s="2">
        <v>98.23</v>
      </c>
      <c r="T30" s="2">
        <v>1.17</v>
      </c>
      <c r="U30" s="2">
        <v>1473605</v>
      </c>
      <c r="V30" s="7"/>
      <c r="W30" s="7"/>
    </row>
    <row r="31" spans="1:24" x14ac:dyDescent="0.25">
      <c r="A31" s="2" t="s">
        <v>160</v>
      </c>
      <c r="B31" s="3">
        <v>4.7</v>
      </c>
      <c r="C31" s="3">
        <v>6.1</v>
      </c>
      <c r="D31" s="3">
        <v>0</v>
      </c>
      <c r="E31" s="3">
        <v>95</v>
      </c>
      <c r="F31" s="3">
        <v>0</v>
      </c>
      <c r="G31" s="3">
        <v>0</v>
      </c>
      <c r="H31" s="3">
        <v>0</v>
      </c>
      <c r="I31" s="2">
        <v>0.09</v>
      </c>
      <c r="J31" s="2">
        <v>2</v>
      </c>
      <c r="K31" s="2" t="s">
        <v>89</v>
      </c>
      <c r="L31" s="4">
        <v>45891</v>
      </c>
      <c r="M31" s="8">
        <f t="shared" ref="M31:M85" si="0">ROUND((L31-$L$2)/30.5,2)</f>
        <v>0.1</v>
      </c>
      <c r="O31" s="12"/>
      <c r="P31" s="8"/>
      <c r="Q31" s="2">
        <v>76985</v>
      </c>
      <c r="R31" s="2">
        <v>0.49</v>
      </c>
      <c r="S31" s="2">
        <v>98.51</v>
      </c>
      <c r="T31" s="2">
        <v>1</v>
      </c>
      <c r="U31" s="2">
        <v>1307012</v>
      </c>
      <c r="V31" s="7"/>
      <c r="W31" s="7"/>
    </row>
    <row r="32" spans="1:24" x14ac:dyDescent="0.25">
      <c r="A32" s="2" t="s">
        <v>161</v>
      </c>
      <c r="B32" s="3">
        <v>4.7</v>
      </c>
      <c r="C32" s="3">
        <v>6.1</v>
      </c>
      <c r="D32" s="3">
        <v>0</v>
      </c>
      <c r="E32" s="3">
        <v>10</v>
      </c>
      <c r="F32" s="3">
        <v>50</v>
      </c>
      <c r="G32" s="3">
        <v>0</v>
      </c>
      <c r="H32" s="3">
        <v>0</v>
      </c>
      <c r="I32" s="2">
        <v>0.09</v>
      </c>
      <c r="J32" s="2">
        <v>3</v>
      </c>
      <c r="K32" s="2" t="s">
        <v>89</v>
      </c>
      <c r="L32" s="4">
        <v>45891</v>
      </c>
      <c r="M32" s="8">
        <f t="shared" si="0"/>
        <v>0.1</v>
      </c>
      <c r="O32" s="12"/>
      <c r="P32" s="8"/>
      <c r="Q32" s="2">
        <v>76990</v>
      </c>
      <c r="R32" s="2">
        <v>0.7</v>
      </c>
      <c r="S32" s="2">
        <v>98.07</v>
      </c>
      <c r="T32" s="2">
        <v>1.23</v>
      </c>
      <c r="U32" s="2">
        <v>1195045</v>
      </c>
      <c r="V32" s="7"/>
      <c r="W32" s="7"/>
    </row>
    <row r="33" spans="1:23" x14ac:dyDescent="0.25">
      <c r="A33" s="2" t="s">
        <v>162</v>
      </c>
      <c r="B33" s="3">
        <v>4.7</v>
      </c>
      <c r="C33" s="3">
        <v>6.1</v>
      </c>
      <c r="D33" s="3">
        <v>0</v>
      </c>
      <c r="E33" s="3">
        <v>10</v>
      </c>
      <c r="F33" s="3">
        <v>0</v>
      </c>
      <c r="G33" s="3">
        <v>90</v>
      </c>
      <c r="H33" s="3">
        <v>0</v>
      </c>
      <c r="I33" s="2">
        <v>0.09</v>
      </c>
      <c r="J33" s="2">
        <v>4</v>
      </c>
      <c r="K33" s="2" t="s">
        <v>89</v>
      </c>
      <c r="L33" s="4">
        <v>45891</v>
      </c>
      <c r="M33" s="8">
        <f t="shared" si="0"/>
        <v>0.1</v>
      </c>
      <c r="O33" s="12"/>
      <c r="P33" s="8"/>
      <c r="Q33" s="2">
        <v>76995</v>
      </c>
      <c r="R33" s="2">
        <v>0.53</v>
      </c>
      <c r="S33" s="2">
        <v>98.29</v>
      </c>
      <c r="T33" s="2">
        <v>1.19</v>
      </c>
      <c r="U33" s="2">
        <v>1319731</v>
      </c>
      <c r="V33" s="7"/>
      <c r="W33" s="7"/>
    </row>
    <row r="34" spans="1:23" x14ac:dyDescent="0.25">
      <c r="A34" s="2" t="s">
        <v>163</v>
      </c>
      <c r="B34" s="3">
        <v>4.7</v>
      </c>
      <c r="C34" s="3">
        <v>6.1</v>
      </c>
      <c r="D34" s="3">
        <v>20</v>
      </c>
      <c r="E34" s="3">
        <v>45</v>
      </c>
      <c r="F34" s="3">
        <v>0</v>
      </c>
      <c r="G34" s="3">
        <v>0</v>
      </c>
      <c r="H34" s="3">
        <v>0</v>
      </c>
      <c r="I34" s="2">
        <v>0.09</v>
      </c>
      <c r="J34" s="2">
        <v>5</v>
      </c>
      <c r="K34" s="2" t="s">
        <v>89</v>
      </c>
      <c r="L34" s="4">
        <v>45891</v>
      </c>
      <c r="M34" s="8">
        <f t="shared" si="0"/>
        <v>0.1</v>
      </c>
      <c r="O34" s="12"/>
      <c r="P34" s="8"/>
      <c r="Q34" s="2">
        <v>77000</v>
      </c>
      <c r="R34" s="2">
        <v>1.4</v>
      </c>
      <c r="S34" s="2">
        <v>97.67</v>
      </c>
      <c r="T34" s="2">
        <v>0.92</v>
      </c>
      <c r="U34" s="2">
        <v>1521371</v>
      </c>
      <c r="V34" s="7"/>
      <c r="W34" s="7"/>
    </row>
    <row r="35" spans="1:23" x14ac:dyDescent="0.25">
      <c r="A35" s="2" t="s">
        <v>164</v>
      </c>
      <c r="B35" s="3">
        <v>4.7</v>
      </c>
      <c r="C35" s="3">
        <v>6.1</v>
      </c>
      <c r="D35" s="3">
        <v>10</v>
      </c>
      <c r="E35" s="3">
        <v>10</v>
      </c>
      <c r="F35" s="3">
        <v>35</v>
      </c>
      <c r="G35" s="3">
        <v>0</v>
      </c>
      <c r="H35" s="3">
        <v>0</v>
      </c>
      <c r="I35" s="2">
        <v>0.09</v>
      </c>
      <c r="J35" s="2">
        <v>6</v>
      </c>
      <c r="K35" s="2" t="s">
        <v>89</v>
      </c>
      <c r="L35" s="4">
        <v>45891</v>
      </c>
      <c r="M35" s="8">
        <f t="shared" si="0"/>
        <v>0.1</v>
      </c>
      <c r="O35" s="12"/>
      <c r="P35" s="8"/>
      <c r="Q35" s="2">
        <v>77005</v>
      </c>
      <c r="R35" s="2">
        <v>1.33</v>
      </c>
      <c r="S35" s="2">
        <v>97.72</v>
      </c>
      <c r="T35" s="2">
        <v>0.95</v>
      </c>
      <c r="U35" s="2">
        <v>1512031</v>
      </c>
      <c r="V35" s="7"/>
      <c r="W35" s="7"/>
    </row>
    <row r="36" spans="1:23" x14ac:dyDescent="0.25">
      <c r="A36" s="2" t="s">
        <v>165</v>
      </c>
      <c r="B36" s="3">
        <v>4.7</v>
      </c>
      <c r="C36" s="3">
        <v>6.1</v>
      </c>
      <c r="D36" s="3">
        <v>20</v>
      </c>
      <c r="E36" s="3">
        <v>10</v>
      </c>
      <c r="F36" s="3">
        <v>0</v>
      </c>
      <c r="G36" s="3">
        <v>40</v>
      </c>
      <c r="H36" s="3">
        <v>0</v>
      </c>
      <c r="I36" s="2">
        <v>0.09</v>
      </c>
      <c r="J36" s="2">
        <v>7</v>
      </c>
      <c r="K36" s="2" t="s">
        <v>89</v>
      </c>
      <c r="L36" s="4">
        <v>45891</v>
      </c>
      <c r="M36" s="8">
        <f t="shared" si="0"/>
        <v>0.1</v>
      </c>
      <c r="O36" s="12"/>
      <c r="P36" s="8"/>
      <c r="Q36" s="2">
        <v>77010</v>
      </c>
      <c r="R36" s="2">
        <v>1.49</v>
      </c>
      <c r="S36" s="2">
        <v>97.58</v>
      </c>
      <c r="T36" s="2">
        <v>0.94</v>
      </c>
      <c r="U36" s="2">
        <v>1526701</v>
      </c>
      <c r="V36" s="7"/>
      <c r="W36" s="7"/>
    </row>
    <row r="37" spans="1:23" x14ac:dyDescent="0.25">
      <c r="A37" s="2" t="s">
        <v>166</v>
      </c>
      <c r="B37" s="3">
        <v>4.7</v>
      </c>
      <c r="C37" s="3">
        <v>6.1</v>
      </c>
      <c r="D37" s="3">
        <v>0</v>
      </c>
      <c r="E37" s="3">
        <v>20</v>
      </c>
      <c r="F37" s="3">
        <v>0</v>
      </c>
      <c r="G37" s="3">
        <v>0</v>
      </c>
      <c r="H37" s="3">
        <v>0</v>
      </c>
      <c r="I37" s="2">
        <v>0.09</v>
      </c>
      <c r="J37" s="2">
        <v>1</v>
      </c>
      <c r="K37" s="6" t="s">
        <v>90</v>
      </c>
      <c r="L37" s="4">
        <v>45891</v>
      </c>
      <c r="M37" s="8">
        <f t="shared" si="0"/>
        <v>0.1</v>
      </c>
      <c r="O37" s="12"/>
      <c r="P37" s="8"/>
      <c r="Q37" s="2">
        <v>77025</v>
      </c>
      <c r="R37" s="2">
        <v>0.94</v>
      </c>
      <c r="S37" s="2">
        <v>97.83</v>
      </c>
      <c r="T37" s="2">
        <v>1.23</v>
      </c>
      <c r="U37" s="2">
        <v>1473810</v>
      </c>
      <c r="V37" s="7"/>
      <c r="W37" s="7"/>
    </row>
    <row r="38" spans="1:23" x14ac:dyDescent="0.25">
      <c r="A38" s="2" t="s">
        <v>167</v>
      </c>
      <c r="B38" s="3">
        <v>4.7</v>
      </c>
      <c r="C38" s="3">
        <v>6.1</v>
      </c>
      <c r="D38" s="3">
        <v>0</v>
      </c>
      <c r="E38" s="3">
        <v>95</v>
      </c>
      <c r="F38" s="3">
        <v>0</v>
      </c>
      <c r="G38" s="3">
        <v>0</v>
      </c>
      <c r="H38" s="3">
        <v>0</v>
      </c>
      <c r="I38" s="2">
        <v>0.09</v>
      </c>
      <c r="J38" s="2">
        <v>2</v>
      </c>
      <c r="K38" s="6" t="s">
        <v>90</v>
      </c>
      <c r="L38" s="4">
        <v>45891</v>
      </c>
      <c r="M38" s="8">
        <f t="shared" si="0"/>
        <v>0.1</v>
      </c>
      <c r="O38" s="12"/>
      <c r="P38" s="8"/>
      <c r="Q38" s="2">
        <v>77030</v>
      </c>
      <c r="R38" s="2">
        <v>0.8</v>
      </c>
      <c r="S38" s="2">
        <v>97.95</v>
      </c>
      <c r="T38" s="2">
        <v>1.25</v>
      </c>
      <c r="U38" s="2">
        <v>1318518</v>
      </c>
      <c r="V38" s="7"/>
      <c r="W38" s="7"/>
    </row>
    <row r="39" spans="1:23" x14ac:dyDescent="0.25">
      <c r="A39" s="2" t="s">
        <v>168</v>
      </c>
      <c r="B39" s="3">
        <v>4.7</v>
      </c>
      <c r="C39" s="3">
        <v>6.1</v>
      </c>
      <c r="D39" s="3">
        <v>0</v>
      </c>
      <c r="E39" s="3">
        <v>10</v>
      </c>
      <c r="F39" s="3">
        <v>50</v>
      </c>
      <c r="G39" s="3">
        <v>0</v>
      </c>
      <c r="H39" s="3">
        <v>0</v>
      </c>
      <c r="I39" s="2">
        <v>0.09</v>
      </c>
      <c r="J39" s="2">
        <v>3</v>
      </c>
      <c r="K39" s="6" t="s">
        <v>90</v>
      </c>
      <c r="L39" s="4">
        <v>45891</v>
      </c>
      <c r="M39" s="8">
        <f t="shared" si="0"/>
        <v>0.1</v>
      </c>
      <c r="O39" s="12"/>
      <c r="P39" s="8"/>
      <c r="Q39" s="2">
        <v>77035</v>
      </c>
      <c r="R39" s="2">
        <v>0.91</v>
      </c>
      <c r="S39" s="2">
        <v>97.61</v>
      </c>
      <c r="T39" s="2">
        <v>1.48</v>
      </c>
      <c r="U39" s="2">
        <v>1269525</v>
      </c>
      <c r="V39" s="7"/>
      <c r="W39" s="7"/>
    </row>
    <row r="40" spans="1:23" x14ac:dyDescent="0.25">
      <c r="A40" s="2" t="s">
        <v>169</v>
      </c>
      <c r="B40" s="3">
        <v>4.7</v>
      </c>
      <c r="C40" s="3">
        <v>6.1</v>
      </c>
      <c r="D40" s="3">
        <v>0</v>
      </c>
      <c r="E40" s="3">
        <v>10</v>
      </c>
      <c r="F40" s="3">
        <v>0</v>
      </c>
      <c r="G40" s="3">
        <v>90</v>
      </c>
      <c r="H40" s="3">
        <v>0</v>
      </c>
      <c r="I40" s="2">
        <v>0.09</v>
      </c>
      <c r="J40" s="2">
        <v>4</v>
      </c>
      <c r="K40" s="6" t="s">
        <v>90</v>
      </c>
      <c r="L40" s="4">
        <v>45891</v>
      </c>
      <c r="M40" s="8">
        <f t="shared" si="0"/>
        <v>0.1</v>
      </c>
      <c r="O40" s="12"/>
      <c r="P40" s="8"/>
      <c r="Q40" s="2">
        <v>77040</v>
      </c>
      <c r="R40" s="2">
        <v>0.82</v>
      </c>
      <c r="S40" s="2">
        <v>97.83</v>
      </c>
      <c r="T40" s="2">
        <v>1.35</v>
      </c>
      <c r="U40" s="2">
        <v>1321263</v>
      </c>
      <c r="V40" s="7"/>
      <c r="W40" s="7"/>
    </row>
    <row r="41" spans="1:23" x14ac:dyDescent="0.25">
      <c r="A41" s="2" t="s">
        <v>170</v>
      </c>
      <c r="B41" s="3">
        <v>4.7</v>
      </c>
      <c r="C41" s="3">
        <v>6.1</v>
      </c>
      <c r="D41" s="3">
        <v>20</v>
      </c>
      <c r="E41" s="3">
        <v>45</v>
      </c>
      <c r="F41" s="3">
        <v>0</v>
      </c>
      <c r="G41" s="3">
        <v>0</v>
      </c>
      <c r="H41" s="3">
        <v>0</v>
      </c>
      <c r="I41" s="2">
        <v>0.09</v>
      </c>
      <c r="J41" s="2">
        <v>5</v>
      </c>
      <c r="K41" s="6" t="s">
        <v>90</v>
      </c>
      <c r="L41" s="4">
        <v>45891</v>
      </c>
      <c r="M41" s="8">
        <f t="shared" si="0"/>
        <v>0.1</v>
      </c>
      <c r="O41" s="12"/>
      <c r="P41" s="8"/>
      <c r="Q41" s="2">
        <v>77045</v>
      </c>
      <c r="R41" s="2">
        <v>2.63</v>
      </c>
      <c r="S41" s="2">
        <v>96.32</v>
      </c>
      <c r="T41" s="2">
        <v>1.05</v>
      </c>
      <c r="U41" s="2">
        <v>1528558</v>
      </c>
      <c r="V41" s="7"/>
      <c r="W41" s="7"/>
    </row>
    <row r="42" spans="1:23" x14ac:dyDescent="0.25">
      <c r="A42" s="2" t="s">
        <v>171</v>
      </c>
      <c r="B42" s="3">
        <v>4.7</v>
      </c>
      <c r="C42" s="3">
        <v>6.1</v>
      </c>
      <c r="D42" s="3">
        <v>10</v>
      </c>
      <c r="E42" s="3">
        <v>10</v>
      </c>
      <c r="F42" s="3">
        <v>35</v>
      </c>
      <c r="G42" s="3">
        <v>0</v>
      </c>
      <c r="H42" s="3">
        <v>0</v>
      </c>
      <c r="I42" s="2">
        <v>0.09</v>
      </c>
      <c r="J42" s="2">
        <v>6</v>
      </c>
      <c r="K42" s="6" t="s">
        <v>90</v>
      </c>
      <c r="L42" s="4">
        <v>45891</v>
      </c>
      <c r="M42" s="8">
        <f t="shared" si="0"/>
        <v>0.1</v>
      </c>
      <c r="O42" s="12"/>
      <c r="P42" s="8"/>
      <c r="Q42" s="2">
        <v>77050</v>
      </c>
      <c r="R42" s="2">
        <v>2.67</v>
      </c>
      <c r="S42" s="2">
        <v>96.25</v>
      </c>
      <c r="T42" s="2">
        <v>1.08</v>
      </c>
      <c r="U42" s="2">
        <v>1506852</v>
      </c>
      <c r="V42" s="7"/>
      <c r="W42" s="7"/>
    </row>
    <row r="43" spans="1:23" x14ac:dyDescent="0.25">
      <c r="A43" s="2" t="s">
        <v>172</v>
      </c>
      <c r="B43" s="3">
        <v>4.7</v>
      </c>
      <c r="C43" s="3">
        <v>6.1</v>
      </c>
      <c r="D43" s="3">
        <v>20</v>
      </c>
      <c r="E43" s="3">
        <v>10</v>
      </c>
      <c r="F43" s="3">
        <v>0</v>
      </c>
      <c r="G43" s="3">
        <v>40</v>
      </c>
      <c r="H43" s="3">
        <v>0</v>
      </c>
      <c r="I43" s="2">
        <v>0.09</v>
      </c>
      <c r="J43" s="2">
        <v>7</v>
      </c>
      <c r="K43" s="6" t="s">
        <v>90</v>
      </c>
      <c r="L43" s="4">
        <v>45891</v>
      </c>
      <c r="M43" s="8">
        <f t="shared" si="0"/>
        <v>0.1</v>
      </c>
      <c r="O43" s="12"/>
      <c r="P43" s="8"/>
      <c r="Q43" s="2">
        <v>77055</v>
      </c>
      <c r="R43" s="2">
        <v>2.73</v>
      </c>
      <c r="S43" s="2">
        <v>96.21</v>
      </c>
      <c r="T43" s="2">
        <v>1.06</v>
      </c>
      <c r="U43" s="2">
        <v>1535337</v>
      </c>
      <c r="V43" s="7"/>
      <c r="W43" s="7"/>
    </row>
    <row r="44" spans="1:23" x14ac:dyDescent="0.25">
      <c r="A44" s="2" t="s">
        <v>9</v>
      </c>
      <c r="B44" s="3">
        <v>4.7</v>
      </c>
      <c r="C44" s="3">
        <v>6.1</v>
      </c>
      <c r="D44" s="3">
        <v>0</v>
      </c>
      <c r="E44" s="3">
        <v>20</v>
      </c>
      <c r="F44" s="3">
        <v>0</v>
      </c>
      <c r="G44" s="3">
        <v>0</v>
      </c>
      <c r="H44" s="3">
        <v>0</v>
      </c>
      <c r="I44" s="2">
        <v>0.09</v>
      </c>
      <c r="J44" s="2">
        <v>1</v>
      </c>
      <c r="K44" s="2" t="s">
        <v>89</v>
      </c>
      <c r="L44" s="4">
        <v>45894</v>
      </c>
      <c r="M44" s="8">
        <f>ROUND((L44-$L$2)/30.5,2)</f>
        <v>0.2</v>
      </c>
      <c r="N44" s="2" t="s">
        <v>214</v>
      </c>
      <c r="O44" s="12">
        <v>1.0309999999999999</v>
      </c>
      <c r="P44" s="8">
        <v>6.07</v>
      </c>
      <c r="Q44" s="2">
        <v>77414</v>
      </c>
      <c r="R44" s="2">
        <v>0.6</v>
      </c>
      <c r="S44" s="2">
        <v>98.31</v>
      </c>
      <c r="T44" s="2">
        <v>1.0900000000000001</v>
      </c>
      <c r="U44" s="2">
        <v>1471979</v>
      </c>
    </row>
    <row r="45" spans="1:23" x14ac:dyDescent="0.25">
      <c r="A45" s="2" t="s">
        <v>10</v>
      </c>
      <c r="B45" s="3">
        <v>4.7</v>
      </c>
      <c r="C45" s="3">
        <v>6.1</v>
      </c>
      <c r="D45" s="3">
        <v>0</v>
      </c>
      <c r="E45" s="3">
        <v>95</v>
      </c>
      <c r="F45" s="3">
        <v>0</v>
      </c>
      <c r="G45" s="3">
        <v>0</v>
      </c>
      <c r="H45" s="3">
        <v>0</v>
      </c>
      <c r="I45" s="2">
        <v>0.09</v>
      </c>
      <c r="J45" s="2">
        <v>2</v>
      </c>
      <c r="K45" s="2" t="s">
        <v>89</v>
      </c>
      <c r="L45" s="4">
        <v>45894</v>
      </c>
      <c r="M45" s="8">
        <f t="shared" si="0"/>
        <v>0.2</v>
      </c>
      <c r="N45" s="2" t="s">
        <v>214</v>
      </c>
      <c r="O45" s="12">
        <v>0.93400000000000005</v>
      </c>
      <c r="P45" s="8">
        <v>6.04</v>
      </c>
      <c r="Q45" s="2">
        <v>77419</v>
      </c>
      <c r="R45" s="2">
        <v>0.55000000000000004</v>
      </c>
      <c r="S45" s="2">
        <v>98.35</v>
      </c>
      <c r="T45" s="2">
        <v>1.1000000000000001</v>
      </c>
      <c r="U45" s="2">
        <v>1289118</v>
      </c>
    </row>
    <row r="46" spans="1:23" x14ac:dyDescent="0.25">
      <c r="A46" s="2" t="s">
        <v>11</v>
      </c>
      <c r="B46" s="3">
        <v>4.7</v>
      </c>
      <c r="C46" s="3">
        <v>6.1</v>
      </c>
      <c r="D46" s="3">
        <v>0</v>
      </c>
      <c r="E46" s="3">
        <v>10</v>
      </c>
      <c r="F46" s="3">
        <v>50</v>
      </c>
      <c r="G46" s="3">
        <v>0</v>
      </c>
      <c r="H46" s="3">
        <v>0</v>
      </c>
      <c r="I46" s="2">
        <v>0.09</v>
      </c>
      <c r="J46" s="2">
        <v>3</v>
      </c>
      <c r="K46" s="2" t="s">
        <v>89</v>
      </c>
      <c r="L46" s="4">
        <v>45894</v>
      </c>
      <c r="M46" s="8">
        <f t="shared" si="0"/>
        <v>0.2</v>
      </c>
      <c r="N46" s="2" t="s">
        <v>214</v>
      </c>
      <c r="O46" s="12">
        <v>0.877</v>
      </c>
      <c r="P46" s="8">
        <v>6.05</v>
      </c>
      <c r="Q46" s="2">
        <v>77424</v>
      </c>
      <c r="R46" s="2">
        <v>0.65</v>
      </c>
      <c r="S46" s="2">
        <v>98.2</v>
      </c>
      <c r="T46" s="2">
        <v>1.1499999999999999</v>
      </c>
      <c r="U46" s="2">
        <v>1227253</v>
      </c>
    </row>
    <row r="47" spans="1:23" x14ac:dyDescent="0.25">
      <c r="A47" s="2" t="s">
        <v>12</v>
      </c>
      <c r="B47" s="3">
        <v>4.7</v>
      </c>
      <c r="C47" s="3">
        <v>6.1</v>
      </c>
      <c r="D47" s="3">
        <v>0</v>
      </c>
      <c r="E47" s="3">
        <v>10</v>
      </c>
      <c r="F47" s="3">
        <v>0</v>
      </c>
      <c r="G47" s="3">
        <v>90</v>
      </c>
      <c r="H47" s="3">
        <v>0</v>
      </c>
      <c r="I47" s="2">
        <v>0.09</v>
      </c>
      <c r="J47" s="2">
        <v>4</v>
      </c>
      <c r="K47" s="2" t="s">
        <v>89</v>
      </c>
      <c r="L47" s="4">
        <v>45894</v>
      </c>
      <c r="M47" s="8">
        <f t="shared" si="0"/>
        <v>0.2</v>
      </c>
      <c r="N47" s="2" t="s">
        <v>214</v>
      </c>
      <c r="O47" s="12">
        <v>0.92600000000000005</v>
      </c>
      <c r="P47" s="8">
        <v>6.02</v>
      </c>
      <c r="Q47" s="2">
        <v>77429</v>
      </c>
      <c r="R47" s="2">
        <v>0.61</v>
      </c>
      <c r="S47" s="2">
        <v>98.31</v>
      </c>
      <c r="T47" s="2">
        <v>1.08</v>
      </c>
      <c r="U47" s="2">
        <v>1313820</v>
      </c>
    </row>
    <row r="48" spans="1:23" x14ac:dyDescent="0.25">
      <c r="A48" s="2" t="s">
        <v>13</v>
      </c>
      <c r="B48" s="3">
        <v>4.7</v>
      </c>
      <c r="C48" s="3">
        <v>6.1</v>
      </c>
      <c r="D48" s="3">
        <v>20</v>
      </c>
      <c r="E48" s="3">
        <v>45</v>
      </c>
      <c r="F48" s="3">
        <v>0</v>
      </c>
      <c r="G48" s="3">
        <v>0</v>
      </c>
      <c r="H48" s="3">
        <v>0</v>
      </c>
      <c r="I48" s="2">
        <v>0.09</v>
      </c>
      <c r="J48" s="2">
        <v>5</v>
      </c>
      <c r="K48" s="2" t="s">
        <v>89</v>
      </c>
      <c r="L48" s="4">
        <v>45894</v>
      </c>
      <c r="M48" s="8">
        <f t="shared" si="0"/>
        <v>0.2</v>
      </c>
      <c r="N48" s="2" t="s">
        <v>214</v>
      </c>
      <c r="O48" s="12">
        <v>1.0449999999999999</v>
      </c>
      <c r="P48" s="8">
        <v>6.06</v>
      </c>
      <c r="Q48" s="2">
        <v>77434</v>
      </c>
      <c r="R48" s="2">
        <v>1.63</v>
      </c>
      <c r="S48" s="2">
        <v>97.49</v>
      </c>
      <c r="T48" s="2">
        <v>0.87</v>
      </c>
      <c r="U48" s="2">
        <v>1520347</v>
      </c>
    </row>
    <row r="49" spans="1:24" x14ac:dyDescent="0.25">
      <c r="A49" s="2" t="s">
        <v>14</v>
      </c>
      <c r="B49" s="3">
        <v>4.7</v>
      </c>
      <c r="C49" s="3">
        <v>6.1</v>
      </c>
      <c r="D49" s="3">
        <v>10</v>
      </c>
      <c r="E49" s="3">
        <v>10</v>
      </c>
      <c r="F49" s="3">
        <v>35</v>
      </c>
      <c r="G49" s="3">
        <v>0</v>
      </c>
      <c r="H49" s="3">
        <v>0</v>
      </c>
      <c r="I49" s="2">
        <v>0.09</v>
      </c>
      <c r="J49" s="2">
        <v>6</v>
      </c>
      <c r="K49" s="2" t="s">
        <v>89</v>
      </c>
      <c r="L49" s="4">
        <v>45894</v>
      </c>
      <c r="M49" s="8">
        <f t="shared" si="0"/>
        <v>0.2</v>
      </c>
      <c r="N49" s="2" t="s">
        <v>187</v>
      </c>
      <c r="O49" s="12">
        <v>1.0549999999999999</v>
      </c>
      <c r="P49" s="8">
        <v>6.06</v>
      </c>
      <c r="Q49" s="2">
        <v>77439</v>
      </c>
      <c r="R49" s="2">
        <v>1.47</v>
      </c>
      <c r="S49" s="2">
        <v>97.65</v>
      </c>
      <c r="T49" s="2">
        <v>0.88</v>
      </c>
      <c r="U49" s="2">
        <v>1502412</v>
      </c>
    </row>
    <row r="50" spans="1:24" x14ac:dyDescent="0.25">
      <c r="A50" s="2" t="s">
        <v>15</v>
      </c>
      <c r="B50" s="3">
        <v>4.7</v>
      </c>
      <c r="C50" s="3">
        <v>6.1</v>
      </c>
      <c r="D50" s="3">
        <v>20</v>
      </c>
      <c r="E50" s="3">
        <v>10</v>
      </c>
      <c r="F50" s="3">
        <v>0</v>
      </c>
      <c r="G50" s="3">
        <v>40</v>
      </c>
      <c r="H50" s="3">
        <v>0</v>
      </c>
      <c r="I50" s="2">
        <v>0.09</v>
      </c>
      <c r="J50" s="2">
        <v>7</v>
      </c>
      <c r="K50" s="2" t="s">
        <v>89</v>
      </c>
      <c r="L50" s="4">
        <v>45894</v>
      </c>
      <c r="M50" s="8">
        <f t="shared" si="0"/>
        <v>0.2</v>
      </c>
      <c r="N50" s="2" t="s">
        <v>214</v>
      </c>
      <c r="O50" s="12">
        <v>1.0449999999999999</v>
      </c>
      <c r="P50" s="8">
        <v>6.05</v>
      </c>
      <c r="Q50" s="2">
        <v>77444</v>
      </c>
      <c r="R50" s="2">
        <v>1.67</v>
      </c>
      <c r="S50" s="2">
        <v>97.44</v>
      </c>
      <c r="T50" s="2">
        <v>0.89</v>
      </c>
      <c r="U50" s="2">
        <v>1522983</v>
      </c>
    </row>
    <row r="51" spans="1:24" x14ac:dyDescent="0.25">
      <c r="A51" s="2" t="s">
        <v>16</v>
      </c>
      <c r="B51" s="3">
        <v>4.7</v>
      </c>
      <c r="C51" s="3">
        <v>6.1</v>
      </c>
      <c r="D51" s="3">
        <v>0</v>
      </c>
      <c r="E51" s="3">
        <v>20</v>
      </c>
      <c r="F51" s="3">
        <v>0</v>
      </c>
      <c r="G51" s="3">
        <v>0</v>
      </c>
      <c r="H51" s="3">
        <v>0</v>
      </c>
      <c r="I51" s="2">
        <v>0.09</v>
      </c>
      <c r="J51" s="2">
        <v>1</v>
      </c>
      <c r="K51" s="6" t="s">
        <v>90</v>
      </c>
      <c r="L51" s="4">
        <v>45894</v>
      </c>
      <c r="M51" s="8">
        <f t="shared" si="0"/>
        <v>0.2</v>
      </c>
      <c r="N51" s="2" t="s">
        <v>214</v>
      </c>
      <c r="O51" s="12">
        <v>1.0329999999999999</v>
      </c>
      <c r="P51" s="8">
        <v>6.1</v>
      </c>
      <c r="Q51" s="2">
        <v>77459</v>
      </c>
      <c r="R51" s="2">
        <v>0.87</v>
      </c>
      <c r="S51" s="2">
        <v>97.72</v>
      </c>
      <c r="T51" s="2">
        <v>1.41</v>
      </c>
      <c r="U51" s="2">
        <v>1475449</v>
      </c>
    </row>
    <row r="52" spans="1:24" x14ac:dyDescent="0.25">
      <c r="A52" s="2" t="s">
        <v>17</v>
      </c>
      <c r="B52" s="3">
        <v>4.7</v>
      </c>
      <c r="C52" s="3">
        <v>6.1</v>
      </c>
      <c r="D52" s="3">
        <v>0</v>
      </c>
      <c r="E52" s="3">
        <v>95</v>
      </c>
      <c r="F52" s="3">
        <v>0</v>
      </c>
      <c r="G52" s="3">
        <v>0</v>
      </c>
      <c r="H52" s="3">
        <v>0</v>
      </c>
      <c r="I52" s="2">
        <v>0.09</v>
      </c>
      <c r="J52" s="2">
        <v>2</v>
      </c>
      <c r="K52" s="6" t="s">
        <v>90</v>
      </c>
      <c r="L52" s="4">
        <v>45894</v>
      </c>
      <c r="M52" s="8">
        <f t="shared" si="0"/>
        <v>0.2</v>
      </c>
      <c r="N52" s="2" t="s">
        <v>214</v>
      </c>
      <c r="O52" s="12">
        <v>0.93700000000000006</v>
      </c>
      <c r="P52" s="8">
        <v>6.05</v>
      </c>
      <c r="Q52" s="2">
        <v>77464</v>
      </c>
      <c r="R52" s="2">
        <v>0.76</v>
      </c>
      <c r="S52" s="2">
        <v>97.79</v>
      </c>
      <c r="T52" s="2">
        <v>1.45</v>
      </c>
      <c r="U52" s="2">
        <v>1306494</v>
      </c>
    </row>
    <row r="53" spans="1:24" x14ac:dyDescent="0.25">
      <c r="A53" s="2" t="s">
        <v>18</v>
      </c>
      <c r="B53" s="3">
        <v>4.7</v>
      </c>
      <c r="C53" s="3">
        <v>6.1</v>
      </c>
      <c r="D53" s="3">
        <v>0</v>
      </c>
      <c r="E53" s="3">
        <v>10</v>
      </c>
      <c r="F53" s="3">
        <v>50</v>
      </c>
      <c r="G53" s="3">
        <v>0</v>
      </c>
      <c r="H53" s="3">
        <v>0</v>
      </c>
      <c r="I53" s="2">
        <v>0.09</v>
      </c>
      <c r="J53" s="2">
        <v>3</v>
      </c>
      <c r="K53" s="6" t="s">
        <v>90</v>
      </c>
      <c r="L53" s="4">
        <v>45894</v>
      </c>
      <c r="M53" s="8">
        <f t="shared" si="0"/>
        <v>0.2</v>
      </c>
      <c r="N53" s="2" t="s">
        <v>214</v>
      </c>
      <c r="O53" s="12">
        <v>0.90100000000000002</v>
      </c>
      <c r="P53" s="8">
        <v>6.06</v>
      </c>
      <c r="Q53" s="2">
        <v>77469</v>
      </c>
      <c r="R53" s="2">
        <v>0.96</v>
      </c>
      <c r="S53" s="2">
        <v>97.47</v>
      </c>
      <c r="T53" s="2">
        <v>1.57</v>
      </c>
      <c r="U53" s="2">
        <v>1261975</v>
      </c>
    </row>
    <row r="54" spans="1:24" x14ac:dyDescent="0.25">
      <c r="A54" s="2" t="s">
        <v>19</v>
      </c>
      <c r="B54" s="3">
        <v>4.7</v>
      </c>
      <c r="C54" s="3">
        <v>6.1</v>
      </c>
      <c r="D54" s="3">
        <v>0</v>
      </c>
      <c r="E54" s="3">
        <v>10</v>
      </c>
      <c r="F54" s="3">
        <v>0</v>
      </c>
      <c r="G54" s="3">
        <v>90</v>
      </c>
      <c r="H54" s="3">
        <v>0</v>
      </c>
      <c r="I54" s="2">
        <v>0.09</v>
      </c>
      <c r="J54" s="2">
        <v>4</v>
      </c>
      <c r="K54" s="6" t="s">
        <v>90</v>
      </c>
      <c r="L54" s="4">
        <v>45894</v>
      </c>
      <c r="M54" s="8">
        <f t="shared" si="0"/>
        <v>0.2</v>
      </c>
      <c r="N54" s="2" t="s">
        <v>214</v>
      </c>
      <c r="O54" s="12">
        <v>0.92200000000000004</v>
      </c>
      <c r="P54" s="8">
        <v>6.05</v>
      </c>
      <c r="Q54" s="2">
        <v>77474</v>
      </c>
      <c r="R54" s="2">
        <v>0.83</v>
      </c>
      <c r="S54" s="2">
        <v>97.68</v>
      </c>
      <c r="T54" s="2">
        <v>1.49</v>
      </c>
      <c r="U54" s="2">
        <v>1313048</v>
      </c>
    </row>
    <row r="55" spans="1:24" x14ac:dyDescent="0.25">
      <c r="A55" s="2" t="s">
        <v>20</v>
      </c>
      <c r="B55" s="3">
        <v>4.7</v>
      </c>
      <c r="C55" s="3">
        <v>6.1</v>
      </c>
      <c r="D55" s="3">
        <v>20</v>
      </c>
      <c r="E55" s="3">
        <v>45</v>
      </c>
      <c r="F55" s="3">
        <v>0</v>
      </c>
      <c r="G55" s="3">
        <v>0</v>
      </c>
      <c r="H55" s="3">
        <v>0</v>
      </c>
      <c r="I55" s="2">
        <v>0.09</v>
      </c>
      <c r="J55" s="2">
        <v>5</v>
      </c>
      <c r="K55" s="6" t="s">
        <v>90</v>
      </c>
      <c r="L55" s="4">
        <v>45894</v>
      </c>
      <c r="M55" s="8">
        <f t="shared" si="0"/>
        <v>0.2</v>
      </c>
      <c r="N55" s="2" t="s">
        <v>214</v>
      </c>
      <c r="O55" s="12">
        <v>1.05</v>
      </c>
      <c r="P55" s="8">
        <v>6.04</v>
      </c>
      <c r="Q55" s="2">
        <v>77479</v>
      </c>
      <c r="R55" s="2">
        <v>2.83</v>
      </c>
      <c r="S55" s="2">
        <v>95.96</v>
      </c>
      <c r="T55" s="2">
        <v>1.21</v>
      </c>
      <c r="U55" s="2">
        <v>1526909</v>
      </c>
    </row>
    <row r="56" spans="1:24" x14ac:dyDescent="0.25">
      <c r="A56" s="2" t="s">
        <v>21</v>
      </c>
      <c r="B56" s="3">
        <v>4.7</v>
      </c>
      <c r="C56" s="3">
        <v>6.1</v>
      </c>
      <c r="D56" s="3">
        <v>10</v>
      </c>
      <c r="E56" s="3">
        <v>10</v>
      </c>
      <c r="F56" s="3">
        <v>35</v>
      </c>
      <c r="G56" s="3">
        <v>0</v>
      </c>
      <c r="H56" s="3">
        <v>0</v>
      </c>
      <c r="I56" s="2">
        <v>0.09</v>
      </c>
      <c r="J56" s="2">
        <v>6</v>
      </c>
      <c r="K56" s="6" t="s">
        <v>90</v>
      </c>
      <c r="L56" s="4">
        <v>45894</v>
      </c>
      <c r="M56" s="8">
        <f t="shared" si="0"/>
        <v>0.2</v>
      </c>
      <c r="N56" s="2" t="s">
        <v>214</v>
      </c>
      <c r="O56" s="12">
        <v>1.08</v>
      </c>
      <c r="P56" s="8">
        <v>6.07</v>
      </c>
      <c r="Q56" s="2">
        <v>77484</v>
      </c>
      <c r="R56" s="2">
        <v>2.81</v>
      </c>
      <c r="S56" s="2">
        <v>95.96</v>
      </c>
      <c r="T56" s="2">
        <v>1.23</v>
      </c>
      <c r="U56" s="2">
        <v>1506464</v>
      </c>
    </row>
    <row r="57" spans="1:24" x14ac:dyDescent="0.25">
      <c r="A57" s="2" t="s">
        <v>22</v>
      </c>
      <c r="B57" s="3">
        <v>4.7</v>
      </c>
      <c r="C57" s="3">
        <v>6.1</v>
      </c>
      <c r="D57" s="3">
        <v>20</v>
      </c>
      <c r="E57" s="3">
        <v>10</v>
      </c>
      <c r="F57" s="3">
        <v>0</v>
      </c>
      <c r="G57" s="3">
        <v>40</v>
      </c>
      <c r="H57" s="3">
        <v>0</v>
      </c>
      <c r="I57" s="2">
        <v>0.09</v>
      </c>
      <c r="J57" s="2">
        <v>7</v>
      </c>
      <c r="K57" s="6" t="s">
        <v>90</v>
      </c>
      <c r="L57" s="4">
        <v>45894</v>
      </c>
      <c r="M57" s="8">
        <f t="shared" si="0"/>
        <v>0.2</v>
      </c>
      <c r="N57" s="2" t="s">
        <v>214</v>
      </c>
      <c r="O57" s="12">
        <v>1.052</v>
      </c>
      <c r="P57" s="8">
        <v>6.03</v>
      </c>
      <c r="Q57" s="2">
        <v>77489</v>
      </c>
      <c r="R57" s="2">
        <v>2.85</v>
      </c>
      <c r="S57" s="2">
        <v>95.96</v>
      </c>
      <c r="T57" s="2">
        <v>1.19</v>
      </c>
      <c r="U57" s="2">
        <v>1522978</v>
      </c>
    </row>
    <row r="58" spans="1:24" s="25" customFormat="1" x14ac:dyDescent="0.25">
      <c r="A58" s="20" t="s">
        <v>192</v>
      </c>
      <c r="B58" s="21">
        <v>4.7</v>
      </c>
      <c r="C58" s="21">
        <v>6.1</v>
      </c>
      <c r="D58" s="21">
        <v>0</v>
      </c>
      <c r="E58" s="21">
        <v>20</v>
      </c>
      <c r="F58" s="21">
        <v>0</v>
      </c>
      <c r="G58" s="21">
        <v>0</v>
      </c>
      <c r="H58" s="21">
        <v>0</v>
      </c>
      <c r="I58" s="20">
        <v>0.09</v>
      </c>
      <c r="J58" s="20">
        <v>1</v>
      </c>
      <c r="K58" s="20" t="s">
        <v>89</v>
      </c>
      <c r="L58" s="22">
        <v>45897</v>
      </c>
      <c r="M58" s="23">
        <f t="shared" si="0"/>
        <v>0.3</v>
      </c>
      <c r="N58" s="20"/>
      <c r="O58" s="24"/>
      <c r="P58" s="23"/>
      <c r="Q58" s="23"/>
      <c r="R58" s="20"/>
      <c r="S58" s="20"/>
      <c r="T58" s="20"/>
      <c r="U58" s="20"/>
      <c r="V58" s="20"/>
      <c r="W58" s="20"/>
      <c r="X58" s="20"/>
    </row>
    <row r="59" spans="1:24" x14ac:dyDescent="0.25">
      <c r="A59" s="2" t="s">
        <v>193</v>
      </c>
      <c r="B59" s="3">
        <v>4.7</v>
      </c>
      <c r="C59" s="3">
        <v>6.1</v>
      </c>
      <c r="D59" s="3">
        <v>0</v>
      </c>
      <c r="E59" s="3">
        <v>95</v>
      </c>
      <c r="F59" s="3">
        <v>0</v>
      </c>
      <c r="G59" s="3">
        <v>0</v>
      </c>
      <c r="H59" s="3">
        <v>0</v>
      </c>
      <c r="I59" s="2">
        <v>0.09</v>
      </c>
      <c r="J59" s="2">
        <v>2</v>
      </c>
      <c r="K59" s="2" t="s">
        <v>89</v>
      </c>
      <c r="L59" s="4">
        <v>45897</v>
      </c>
      <c r="M59" s="8">
        <f t="shared" si="0"/>
        <v>0.3</v>
      </c>
      <c r="O59" s="12"/>
      <c r="P59" s="8"/>
      <c r="Q59" s="8"/>
    </row>
    <row r="60" spans="1:24" x14ac:dyDescent="0.25">
      <c r="A60" s="2" t="s">
        <v>194</v>
      </c>
      <c r="B60" s="3">
        <v>4.7</v>
      </c>
      <c r="C60" s="3">
        <v>6.1</v>
      </c>
      <c r="D60" s="3">
        <v>0</v>
      </c>
      <c r="E60" s="3">
        <v>10</v>
      </c>
      <c r="F60" s="3">
        <v>50</v>
      </c>
      <c r="G60" s="3">
        <v>0</v>
      </c>
      <c r="H60" s="3">
        <v>0</v>
      </c>
      <c r="I60" s="2">
        <v>0.09</v>
      </c>
      <c r="J60" s="2">
        <v>3</v>
      </c>
      <c r="K60" s="2" t="s">
        <v>89</v>
      </c>
      <c r="L60" s="4">
        <v>45897</v>
      </c>
      <c r="M60" s="8">
        <f t="shared" si="0"/>
        <v>0.3</v>
      </c>
      <c r="O60" s="12"/>
      <c r="P60" s="8"/>
      <c r="Q60" s="8"/>
    </row>
    <row r="61" spans="1:24" x14ac:dyDescent="0.25">
      <c r="A61" s="2" t="s">
        <v>195</v>
      </c>
      <c r="B61" s="3">
        <v>4.7</v>
      </c>
      <c r="C61" s="3">
        <v>6.1</v>
      </c>
      <c r="D61" s="3">
        <v>0</v>
      </c>
      <c r="E61" s="3">
        <v>10</v>
      </c>
      <c r="F61" s="3">
        <v>0</v>
      </c>
      <c r="G61" s="3">
        <v>90</v>
      </c>
      <c r="H61" s="3">
        <v>0</v>
      </c>
      <c r="I61" s="2">
        <v>0.09</v>
      </c>
      <c r="J61" s="2">
        <v>4</v>
      </c>
      <c r="K61" s="2" t="s">
        <v>89</v>
      </c>
      <c r="L61" s="4">
        <v>45897</v>
      </c>
      <c r="M61" s="8">
        <f t="shared" si="0"/>
        <v>0.3</v>
      </c>
      <c r="O61" s="12"/>
      <c r="P61" s="8"/>
      <c r="Q61" s="8"/>
    </row>
    <row r="62" spans="1:24" x14ac:dyDescent="0.25">
      <c r="A62" s="2" t="s">
        <v>196</v>
      </c>
      <c r="B62" s="3">
        <v>4.7</v>
      </c>
      <c r="C62" s="3">
        <v>6.1</v>
      </c>
      <c r="D62" s="3">
        <v>20</v>
      </c>
      <c r="E62" s="3">
        <v>45</v>
      </c>
      <c r="F62" s="3">
        <v>0</v>
      </c>
      <c r="G62" s="3">
        <v>0</v>
      </c>
      <c r="H62" s="3">
        <v>0</v>
      </c>
      <c r="I62" s="2">
        <v>0.09</v>
      </c>
      <c r="J62" s="2">
        <v>5</v>
      </c>
      <c r="K62" s="2" t="s">
        <v>89</v>
      </c>
      <c r="L62" s="4">
        <v>45897</v>
      </c>
      <c r="M62" s="8">
        <f t="shared" si="0"/>
        <v>0.3</v>
      </c>
      <c r="O62" s="12"/>
      <c r="P62" s="8"/>
      <c r="Q62" s="8"/>
    </row>
    <row r="63" spans="1:24" x14ac:dyDescent="0.25">
      <c r="A63" s="2" t="s">
        <v>197</v>
      </c>
      <c r="B63" s="3">
        <v>4.7</v>
      </c>
      <c r="C63" s="3">
        <v>6.1</v>
      </c>
      <c r="D63" s="3">
        <v>10</v>
      </c>
      <c r="E63" s="3">
        <v>10</v>
      </c>
      <c r="F63" s="3">
        <v>35</v>
      </c>
      <c r="G63" s="3">
        <v>0</v>
      </c>
      <c r="H63" s="3">
        <v>0</v>
      </c>
      <c r="I63" s="2">
        <v>0.09</v>
      </c>
      <c r="J63" s="2">
        <v>6</v>
      </c>
      <c r="K63" s="2" t="s">
        <v>89</v>
      </c>
      <c r="L63" s="4">
        <v>45897</v>
      </c>
      <c r="M63" s="8">
        <f t="shared" si="0"/>
        <v>0.3</v>
      </c>
      <c r="O63" s="12"/>
      <c r="P63" s="8"/>
      <c r="Q63" s="8"/>
    </row>
    <row r="64" spans="1:24" x14ac:dyDescent="0.25">
      <c r="A64" s="2" t="s">
        <v>198</v>
      </c>
      <c r="B64" s="3">
        <v>4.7</v>
      </c>
      <c r="C64" s="3">
        <v>6.1</v>
      </c>
      <c r="D64" s="3">
        <v>20</v>
      </c>
      <c r="E64" s="3">
        <v>10</v>
      </c>
      <c r="F64" s="3">
        <v>0</v>
      </c>
      <c r="G64" s="3">
        <v>40</v>
      </c>
      <c r="H64" s="3">
        <v>0</v>
      </c>
      <c r="I64" s="2">
        <v>0.09</v>
      </c>
      <c r="J64" s="2">
        <v>7</v>
      </c>
      <c r="K64" s="2" t="s">
        <v>89</v>
      </c>
      <c r="L64" s="4">
        <v>45897</v>
      </c>
      <c r="M64" s="8">
        <f t="shared" si="0"/>
        <v>0.3</v>
      </c>
      <c r="O64" s="12"/>
      <c r="P64" s="8"/>
      <c r="Q64" s="8"/>
    </row>
    <row r="65" spans="1:24" s="25" customFormat="1" x14ac:dyDescent="0.25">
      <c r="A65" s="20" t="s">
        <v>199</v>
      </c>
      <c r="B65" s="21">
        <v>4.7</v>
      </c>
      <c r="C65" s="21">
        <v>6.1</v>
      </c>
      <c r="D65" s="21">
        <v>0</v>
      </c>
      <c r="E65" s="21">
        <v>20</v>
      </c>
      <c r="F65" s="21">
        <v>0</v>
      </c>
      <c r="G65" s="21">
        <v>0</v>
      </c>
      <c r="H65" s="21">
        <v>0</v>
      </c>
      <c r="I65" s="20">
        <v>0.09</v>
      </c>
      <c r="J65" s="20">
        <v>1</v>
      </c>
      <c r="K65" s="26" t="s">
        <v>90</v>
      </c>
      <c r="L65" s="22">
        <v>45897</v>
      </c>
      <c r="M65" s="23">
        <f t="shared" si="0"/>
        <v>0.3</v>
      </c>
      <c r="N65" s="20"/>
      <c r="O65" s="24"/>
      <c r="P65" s="23"/>
      <c r="Q65" s="23"/>
      <c r="R65" s="20"/>
      <c r="S65" s="20"/>
      <c r="T65" s="20"/>
      <c r="U65" s="20"/>
      <c r="V65" s="20"/>
      <c r="W65" s="20"/>
      <c r="X65" s="20"/>
    </row>
    <row r="66" spans="1:24" x14ac:dyDescent="0.25">
      <c r="A66" s="2" t="s">
        <v>200</v>
      </c>
      <c r="B66" s="3">
        <v>4.7</v>
      </c>
      <c r="C66" s="3">
        <v>6.1</v>
      </c>
      <c r="D66" s="3">
        <v>0</v>
      </c>
      <c r="E66" s="3">
        <v>95</v>
      </c>
      <c r="F66" s="3">
        <v>0</v>
      </c>
      <c r="G66" s="3">
        <v>0</v>
      </c>
      <c r="H66" s="3">
        <v>0</v>
      </c>
      <c r="I66" s="2">
        <v>0.09</v>
      </c>
      <c r="J66" s="2">
        <v>2</v>
      </c>
      <c r="K66" s="6" t="s">
        <v>90</v>
      </c>
      <c r="L66" s="4">
        <v>45897</v>
      </c>
      <c r="M66" s="8">
        <f t="shared" si="0"/>
        <v>0.3</v>
      </c>
      <c r="O66" s="12"/>
      <c r="P66" s="8"/>
      <c r="Q66" s="8"/>
    </row>
    <row r="67" spans="1:24" x14ac:dyDescent="0.25">
      <c r="A67" s="2" t="s">
        <v>201</v>
      </c>
      <c r="B67" s="3">
        <v>4.7</v>
      </c>
      <c r="C67" s="3">
        <v>6.1</v>
      </c>
      <c r="D67" s="3">
        <v>0</v>
      </c>
      <c r="E67" s="3">
        <v>10</v>
      </c>
      <c r="F67" s="3">
        <v>50</v>
      </c>
      <c r="G67" s="3">
        <v>0</v>
      </c>
      <c r="H67" s="3">
        <v>0</v>
      </c>
      <c r="I67" s="2">
        <v>0.09</v>
      </c>
      <c r="J67" s="2">
        <v>3</v>
      </c>
      <c r="K67" s="6" t="s">
        <v>90</v>
      </c>
      <c r="L67" s="4">
        <v>45897</v>
      </c>
      <c r="M67" s="8">
        <f t="shared" si="0"/>
        <v>0.3</v>
      </c>
      <c r="O67" s="12"/>
      <c r="P67" s="8"/>
      <c r="Q67" s="8"/>
    </row>
    <row r="68" spans="1:24" x14ac:dyDescent="0.25">
      <c r="A68" s="2" t="s">
        <v>202</v>
      </c>
      <c r="B68" s="3">
        <v>4.7</v>
      </c>
      <c r="C68" s="3">
        <v>6.1</v>
      </c>
      <c r="D68" s="3">
        <v>0</v>
      </c>
      <c r="E68" s="3">
        <v>10</v>
      </c>
      <c r="F68" s="3">
        <v>0</v>
      </c>
      <c r="G68" s="3">
        <v>90</v>
      </c>
      <c r="H68" s="3">
        <v>0</v>
      </c>
      <c r="I68" s="2">
        <v>0.09</v>
      </c>
      <c r="J68" s="2">
        <v>4</v>
      </c>
      <c r="K68" s="6" t="s">
        <v>90</v>
      </c>
      <c r="L68" s="4">
        <v>45897</v>
      </c>
      <c r="M68" s="8">
        <f t="shared" si="0"/>
        <v>0.3</v>
      </c>
      <c r="O68" s="12"/>
      <c r="P68" s="8"/>
      <c r="Q68" s="8"/>
    </row>
    <row r="69" spans="1:24" x14ac:dyDescent="0.25">
      <c r="A69" s="2" t="s">
        <v>203</v>
      </c>
      <c r="B69" s="3">
        <v>4.7</v>
      </c>
      <c r="C69" s="3">
        <v>6.1</v>
      </c>
      <c r="D69" s="3">
        <v>20</v>
      </c>
      <c r="E69" s="3">
        <v>45</v>
      </c>
      <c r="F69" s="3">
        <v>0</v>
      </c>
      <c r="G69" s="3">
        <v>0</v>
      </c>
      <c r="H69" s="3">
        <v>0</v>
      </c>
      <c r="I69" s="2">
        <v>0.09</v>
      </c>
      <c r="J69" s="2">
        <v>5</v>
      </c>
      <c r="K69" s="6" t="s">
        <v>90</v>
      </c>
      <c r="L69" s="4">
        <v>45897</v>
      </c>
      <c r="M69" s="8">
        <f t="shared" si="0"/>
        <v>0.3</v>
      </c>
      <c r="O69" s="12"/>
      <c r="P69" s="8"/>
      <c r="Q69" s="8"/>
    </row>
    <row r="70" spans="1:24" x14ac:dyDescent="0.25">
      <c r="A70" s="2" t="s">
        <v>204</v>
      </c>
      <c r="B70" s="3">
        <v>4.7</v>
      </c>
      <c r="C70" s="3">
        <v>6.1</v>
      </c>
      <c r="D70" s="3">
        <v>10</v>
      </c>
      <c r="E70" s="3">
        <v>10</v>
      </c>
      <c r="F70" s="3">
        <v>35</v>
      </c>
      <c r="G70" s="3">
        <v>0</v>
      </c>
      <c r="H70" s="3">
        <v>0</v>
      </c>
      <c r="I70" s="2">
        <v>0.09</v>
      </c>
      <c r="J70" s="2">
        <v>6</v>
      </c>
      <c r="K70" s="6" t="s">
        <v>90</v>
      </c>
      <c r="L70" s="4">
        <v>45897</v>
      </c>
      <c r="M70" s="8">
        <f t="shared" si="0"/>
        <v>0.3</v>
      </c>
      <c r="O70" s="12"/>
      <c r="P70" s="8"/>
      <c r="Q70" s="8"/>
    </row>
    <row r="71" spans="1:24" x14ac:dyDescent="0.25">
      <c r="A71" s="2" t="s">
        <v>205</v>
      </c>
      <c r="B71" s="3">
        <v>4.7</v>
      </c>
      <c r="C71" s="3">
        <v>6.1</v>
      </c>
      <c r="D71" s="3">
        <v>20</v>
      </c>
      <c r="E71" s="3">
        <v>10</v>
      </c>
      <c r="F71" s="3">
        <v>0</v>
      </c>
      <c r="G71" s="3">
        <v>40</v>
      </c>
      <c r="H71" s="3">
        <v>0</v>
      </c>
      <c r="I71" s="2">
        <v>0.09</v>
      </c>
      <c r="J71" s="2">
        <v>7</v>
      </c>
      <c r="K71" s="6" t="s">
        <v>90</v>
      </c>
      <c r="L71" s="4">
        <v>45897</v>
      </c>
      <c r="M71" s="8">
        <f t="shared" si="0"/>
        <v>0.3</v>
      </c>
      <c r="O71" s="12"/>
      <c r="P71" s="8"/>
      <c r="Q71" s="8"/>
    </row>
    <row r="72" spans="1:24" x14ac:dyDescent="0.25">
      <c r="A72" s="2" t="s">
        <v>23</v>
      </c>
      <c r="B72" s="3">
        <v>4.7</v>
      </c>
      <c r="C72" s="3">
        <v>6.1</v>
      </c>
      <c r="D72" s="3">
        <v>0</v>
      </c>
      <c r="E72" s="3">
        <v>20</v>
      </c>
      <c r="F72" s="3">
        <v>0</v>
      </c>
      <c r="G72" s="3">
        <v>0</v>
      </c>
      <c r="H72" s="3">
        <v>0</v>
      </c>
      <c r="I72" s="2">
        <v>0.09</v>
      </c>
      <c r="J72" s="2">
        <v>1</v>
      </c>
      <c r="K72" s="2" t="s">
        <v>89</v>
      </c>
      <c r="L72" s="4">
        <v>45897</v>
      </c>
      <c r="M72" s="8">
        <f t="shared" si="0"/>
        <v>0.3</v>
      </c>
      <c r="O72" s="12"/>
      <c r="P72" s="8"/>
      <c r="Q72" s="8"/>
    </row>
    <row r="73" spans="1:24" x14ac:dyDescent="0.25">
      <c r="A73" s="2" t="s">
        <v>24</v>
      </c>
      <c r="B73" s="3">
        <v>4.7</v>
      </c>
      <c r="C73" s="3">
        <v>6.1</v>
      </c>
      <c r="D73" s="3">
        <v>0</v>
      </c>
      <c r="E73" s="3">
        <v>95</v>
      </c>
      <c r="F73" s="3">
        <v>0</v>
      </c>
      <c r="G73" s="3">
        <v>0</v>
      </c>
      <c r="H73" s="3">
        <v>0</v>
      </c>
      <c r="I73" s="2">
        <v>0.09</v>
      </c>
      <c r="J73" s="2">
        <v>2</v>
      </c>
      <c r="K73" s="2" t="s">
        <v>89</v>
      </c>
      <c r="L73" s="4">
        <v>45897</v>
      </c>
      <c r="M73" s="8">
        <f t="shared" si="0"/>
        <v>0.3</v>
      </c>
      <c r="O73" s="12"/>
      <c r="P73" s="8"/>
      <c r="Q73" s="8"/>
    </row>
    <row r="74" spans="1:24" x14ac:dyDescent="0.25">
      <c r="A74" s="2" t="s">
        <v>25</v>
      </c>
      <c r="B74" s="3">
        <v>4.7</v>
      </c>
      <c r="C74" s="3">
        <v>6.1</v>
      </c>
      <c r="D74" s="3">
        <v>0</v>
      </c>
      <c r="E74" s="3">
        <v>10</v>
      </c>
      <c r="F74" s="3">
        <v>50</v>
      </c>
      <c r="G74" s="3">
        <v>0</v>
      </c>
      <c r="H74" s="3">
        <v>0</v>
      </c>
      <c r="I74" s="2">
        <v>0.09</v>
      </c>
      <c r="J74" s="2">
        <v>3</v>
      </c>
      <c r="K74" s="2" t="s">
        <v>89</v>
      </c>
      <c r="L74" s="4">
        <v>45897</v>
      </c>
      <c r="M74" s="8">
        <f t="shared" si="0"/>
        <v>0.3</v>
      </c>
      <c r="O74" s="12"/>
      <c r="P74" s="8"/>
      <c r="Q74" s="8"/>
    </row>
    <row r="75" spans="1:24" x14ac:dyDescent="0.25">
      <c r="A75" s="2" t="s">
        <v>26</v>
      </c>
      <c r="B75" s="3">
        <v>4.7</v>
      </c>
      <c r="C75" s="3">
        <v>6.1</v>
      </c>
      <c r="D75" s="3">
        <v>0</v>
      </c>
      <c r="E75" s="3">
        <v>10</v>
      </c>
      <c r="F75" s="3">
        <v>0</v>
      </c>
      <c r="G75" s="3">
        <v>90</v>
      </c>
      <c r="H75" s="3">
        <v>0</v>
      </c>
      <c r="I75" s="2">
        <v>0.09</v>
      </c>
      <c r="J75" s="2">
        <v>4</v>
      </c>
      <c r="K75" s="2" t="s">
        <v>89</v>
      </c>
      <c r="L75" s="4">
        <v>45897</v>
      </c>
      <c r="M75" s="8">
        <f t="shared" si="0"/>
        <v>0.3</v>
      </c>
      <c r="O75" s="12"/>
      <c r="P75" s="8"/>
      <c r="Q75" s="8"/>
    </row>
    <row r="76" spans="1:24" x14ac:dyDescent="0.25">
      <c r="A76" s="2" t="s">
        <v>27</v>
      </c>
      <c r="B76" s="3">
        <v>4.7</v>
      </c>
      <c r="C76" s="3">
        <v>6.1</v>
      </c>
      <c r="D76" s="3">
        <v>20</v>
      </c>
      <c r="E76" s="3">
        <v>45</v>
      </c>
      <c r="F76" s="3">
        <v>0</v>
      </c>
      <c r="G76" s="3">
        <v>0</v>
      </c>
      <c r="H76" s="3">
        <v>0</v>
      </c>
      <c r="I76" s="2">
        <v>0.09</v>
      </c>
      <c r="J76" s="2">
        <v>5</v>
      </c>
      <c r="K76" s="2" t="s">
        <v>89</v>
      </c>
      <c r="L76" s="4">
        <v>45897</v>
      </c>
      <c r="M76" s="8">
        <f t="shared" si="0"/>
        <v>0.3</v>
      </c>
      <c r="O76" s="12"/>
      <c r="P76" s="8"/>
      <c r="Q76" s="8"/>
    </row>
    <row r="77" spans="1:24" x14ac:dyDescent="0.25">
      <c r="A77" s="2" t="s">
        <v>28</v>
      </c>
      <c r="B77" s="3">
        <v>4.7</v>
      </c>
      <c r="C77" s="3">
        <v>6.1</v>
      </c>
      <c r="D77" s="3">
        <v>10</v>
      </c>
      <c r="E77" s="3">
        <v>10</v>
      </c>
      <c r="F77" s="3">
        <v>35</v>
      </c>
      <c r="G77" s="3">
        <v>0</v>
      </c>
      <c r="H77" s="3">
        <v>0</v>
      </c>
      <c r="I77" s="2">
        <v>0.09</v>
      </c>
      <c r="J77" s="2">
        <v>6</v>
      </c>
      <c r="K77" s="2" t="s">
        <v>89</v>
      </c>
      <c r="L77" s="4">
        <v>45897</v>
      </c>
      <c r="M77" s="8">
        <f t="shared" si="0"/>
        <v>0.3</v>
      </c>
      <c r="O77" s="12"/>
      <c r="P77" s="8"/>
      <c r="Q77" s="8"/>
    </row>
    <row r="78" spans="1:24" x14ac:dyDescent="0.25">
      <c r="A78" s="2" t="s">
        <v>29</v>
      </c>
      <c r="B78" s="3">
        <v>4.7</v>
      </c>
      <c r="C78" s="3">
        <v>6.1</v>
      </c>
      <c r="D78" s="3">
        <v>20</v>
      </c>
      <c r="E78" s="3">
        <v>10</v>
      </c>
      <c r="F78" s="3">
        <v>0</v>
      </c>
      <c r="G78" s="3">
        <v>40</v>
      </c>
      <c r="H78" s="3">
        <v>0</v>
      </c>
      <c r="I78" s="2">
        <v>0.09</v>
      </c>
      <c r="J78" s="2">
        <v>7</v>
      </c>
      <c r="K78" s="2" t="s">
        <v>89</v>
      </c>
      <c r="L78" s="4">
        <v>45897</v>
      </c>
      <c r="M78" s="8">
        <f t="shared" si="0"/>
        <v>0.3</v>
      </c>
      <c r="O78" s="12"/>
      <c r="P78" s="8"/>
      <c r="Q78" s="8"/>
    </row>
    <row r="79" spans="1:24" x14ac:dyDescent="0.25">
      <c r="A79" s="2" t="s">
        <v>30</v>
      </c>
      <c r="B79" s="3">
        <v>4.7</v>
      </c>
      <c r="C79" s="3">
        <v>6.1</v>
      </c>
      <c r="D79" s="3">
        <v>0</v>
      </c>
      <c r="E79" s="3">
        <v>20</v>
      </c>
      <c r="F79" s="3">
        <v>0</v>
      </c>
      <c r="G79" s="3">
        <v>0</v>
      </c>
      <c r="H79" s="3">
        <v>0</v>
      </c>
      <c r="I79" s="2">
        <v>0.09</v>
      </c>
      <c r="J79" s="2">
        <v>1</v>
      </c>
      <c r="K79" s="6" t="s">
        <v>90</v>
      </c>
      <c r="L79" s="4">
        <v>45897</v>
      </c>
      <c r="M79" s="8">
        <f t="shared" si="0"/>
        <v>0.3</v>
      </c>
      <c r="O79" s="12"/>
      <c r="P79" s="8"/>
      <c r="Q79" s="8"/>
    </row>
    <row r="80" spans="1:24" x14ac:dyDescent="0.25">
      <c r="A80" s="2" t="s">
        <v>31</v>
      </c>
      <c r="B80" s="3">
        <v>4.7</v>
      </c>
      <c r="C80" s="3">
        <v>6.1</v>
      </c>
      <c r="D80" s="3">
        <v>0</v>
      </c>
      <c r="E80" s="3">
        <v>95</v>
      </c>
      <c r="F80" s="3">
        <v>0</v>
      </c>
      <c r="G80" s="3">
        <v>0</v>
      </c>
      <c r="H80" s="3">
        <v>0</v>
      </c>
      <c r="I80" s="2">
        <v>0.09</v>
      </c>
      <c r="J80" s="2">
        <v>2</v>
      </c>
      <c r="K80" s="6" t="s">
        <v>90</v>
      </c>
      <c r="L80" s="4">
        <v>45897</v>
      </c>
      <c r="M80" s="8">
        <f t="shared" si="0"/>
        <v>0.3</v>
      </c>
      <c r="O80" s="12"/>
      <c r="P80" s="8"/>
      <c r="Q80" s="8"/>
    </row>
    <row r="81" spans="1:17" x14ac:dyDescent="0.25">
      <c r="A81" s="2" t="s">
        <v>32</v>
      </c>
      <c r="B81" s="3">
        <v>4.7</v>
      </c>
      <c r="C81" s="3">
        <v>6.1</v>
      </c>
      <c r="D81" s="3">
        <v>0</v>
      </c>
      <c r="E81" s="3">
        <v>10</v>
      </c>
      <c r="F81" s="3">
        <v>50</v>
      </c>
      <c r="G81" s="3">
        <v>0</v>
      </c>
      <c r="H81" s="3">
        <v>0</v>
      </c>
      <c r="I81" s="2">
        <v>0.09</v>
      </c>
      <c r="J81" s="2">
        <v>3</v>
      </c>
      <c r="K81" s="6" t="s">
        <v>90</v>
      </c>
      <c r="L81" s="4">
        <v>45897</v>
      </c>
      <c r="M81" s="8">
        <f t="shared" si="0"/>
        <v>0.3</v>
      </c>
      <c r="O81" s="12"/>
      <c r="P81" s="8"/>
      <c r="Q81" s="8"/>
    </row>
    <row r="82" spans="1:17" x14ac:dyDescent="0.25">
      <c r="A82" s="2" t="s">
        <v>33</v>
      </c>
      <c r="B82" s="3">
        <v>4.7</v>
      </c>
      <c r="C82" s="3">
        <v>6.1</v>
      </c>
      <c r="D82" s="3">
        <v>0</v>
      </c>
      <c r="E82" s="3">
        <v>10</v>
      </c>
      <c r="F82" s="3">
        <v>0</v>
      </c>
      <c r="G82" s="3">
        <v>90</v>
      </c>
      <c r="H82" s="3">
        <v>0</v>
      </c>
      <c r="I82" s="2">
        <v>0.09</v>
      </c>
      <c r="J82" s="2">
        <v>4</v>
      </c>
      <c r="K82" s="6" t="s">
        <v>90</v>
      </c>
      <c r="L82" s="4">
        <v>45897</v>
      </c>
      <c r="M82" s="8">
        <f t="shared" si="0"/>
        <v>0.3</v>
      </c>
      <c r="O82" s="12"/>
      <c r="P82" s="8"/>
      <c r="Q82" s="8"/>
    </row>
    <row r="83" spans="1:17" x14ac:dyDescent="0.25">
      <c r="A83" s="2" t="s">
        <v>34</v>
      </c>
      <c r="B83" s="3">
        <v>4.7</v>
      </c>
      <c r="C83" s="3">
        <v>6.1</v>
      </c>
      <c r="D83" s="3">
        <v>20</v>
      </c>
      <c r="E83" s="3">
        <v>45</v>
      </c>
      <c r="F83" s="3">
        <v>0</v>
      </c>
      <c r="G83" s="3">
        <v>0</v>
      </c>
      <c r="H83" s="3">
        <v>0</v>
      </c>
      <c r="I83" s="2">
        <v>0.09</v>
      </c>
      <c r="J83" s="2">
        <v>5</v>
      </c>
      <c r="K83" s="6" t="s">
        <v>90</v>
      </c>
      <c r="L83" s="4">
        <v>45897</v>
      </c>
      <c r="M83" s="8">
        <f t="shared" si="0"/>
        <v>0.3</v>
      </c>
      <c r="O83" s="12"/>
      <c r="P83" s="8"/>
      <c r="Q83" s="8"/>
    </row>
    <row r="84" spans="1:17" x14ac:dyDescent="0.25">
      <c r="A84" s="2" t="s">
        <v>35</v>
      </c>
      <c r="B84" s="3">
        <v>4.7</v>
      </c>
      <c r="C84" s="3">
        <v>6.1</v>
      </c>
      <c r="D84" s="3">
        <v>10</v>
      </c>
      <c r="E84" s="3">
        <v>10</v>
      </c>
      <c r="F84" s="3">
        <v>35</v>
      </c>
      <c r="G84" s="3">
        <v>0</v>
      </c>
      <c r="H84" s="3">
        <v>0</v>
      </c>
      <c r="I84" s="2">
        <v>0.09</v>
      </c>
      <c r="J84" s="2">
        <v>6</v>
      </c>
      <c r="K84" s="6" t="s">
        <v>90</v>
      </c>
      <c r="L84" s="4">
        <v>45897</v>
      </c>
      <c r="M84" s="8">
        <f t="shared" si="0"/>
        <v>0.3</v>
      </c>
      <c r="O84" s="12"/>
      <c r="P84" s="8"/>
      <c r="Q84" s="8"/>
    </row>
    <row r="85" spans="1:17" x14ac:dyDescent="0.25">
      <c r="A85" s="2" t="s">
        <v>36</v>
      </c>
      <c r="B85" s="3">
        <v>4.7</v>
      </c>
      <c r="C85" s="3">
        <v>6.1</v>
      </c>
      <c r="D85" s="3">
        <v>20</v>
      </c>
      <c r="E85" s="3">
        <v>10</v>
      </c>
      <c r="F85" s="3">
        <v>0</v>
      </c>
      <c r="G85" s="3">
        <v>40</v>
      </c>
      <c r="H85" s="3">
        <v>0</v>
      </c>
      <c r="I85" s="2">
        <v>0.09</v>
      </c>
      <c r="J85" s="2">
        <v>7</v>
      </c>
      <c r="K85" s="6" t="s">
        <v>90</v>
      </c>
      <c r="L85" s="4">
        <v>45897</v>
      </c>
      <c r="M85" s="8">
        <f t="shared" si="0"/>
        <v>0.3</v>
      </c>
      <c r="O85" s="12"/>
      <c r="P85" s="8"/>
      <c r="Q85" s="8"/>
    </row>
    <row r="86" spans="1:17" x14ac:dyDescent="0.25">
      <c r="A86" s="2" t="s">
        <v>37</v>
      </c>
      <c r="B86" s="3">
        <v>4.7</v>
      </c>
      <c r="C86" s="3">
        <v>6.1</v>
      </c>
      <c r="D86" s="3">
        <v>0</v>
      </c>
      <c r="E86" s="3">
        <v>20</v>
      </c>
      <c r="F86" s="3">
        <v>0</v>
      </c>
      <c r="G86" s="3">
        <v>0</v>
      </c>
      <c r="H86" s="3">
        <v>0</v>
      </c>
      <c r="I86" s="2">
        <v>0.09</v>
      </c>
      <c r="J86" s="2">
        <v>1</v>
      </c>
      <c r="K86" s="2" t="s">
        <v>89</v>
      </c>
      <c r="L86" s="4"/>
      <c r="M86" s="2">
        <v>0.5</v>
      </c>
      <c r="O86" s="12"/>
      <c r="P86" s="8"/>
      <c r="Q86" s="8"/>
    </row>
    <row r="87" spans="1:17" x14ac:dyDescent="0.25">
      <c r="A87" s="2" t="s">
        <v>38</v>
      </c>
      <c r="B87" s="3">
        <v>4.7</v>
      </c>
      <c r="C87" s="3">
        <v>6.1</v>
      </c>
      <c r="D87" s="3">
        <v>0</v>
      </c>
      <c r="E87" s="3">
        <v>95</v>
      </c>
      <c r="F87" s="3">
        <v>0</v>
      </c>
      <c r="G87" s="3">
        <v>0</v>
      </c>
      <c r="H87" s="3">
        <v>0</v>
      </c>
      <c r="I87" s="2">
        <v>0.09</v>
      </c>
      <c r="J87" s="2">
        <v>2</v>
      </c>
      <c r="K87" s="2" t="s">
        <v>89</v>
      </c>
      <c r="L87" s="4"/>
      <c r="M87" s="2">
        <v>0.5</v>
      </c>
      <c r="O87" s="12"/>
      <c r="P87" s="8"/>
      <c r="Q87" s="8"/>
    </row>
    <row r="88" spans="1:17" x14ac:dyDescent="0.25">
      <c r="A88" s="2" t="s">
        <v>39</v>
      </c>
      <c r="B88" s="3">
        <v>4.7</v>
      </c>
      <c r="C88" s="3">
        <v>6.1</v>
      </c>
      <c r="D88" s="3">
        <v>0</v>
      </c>
      <c r="E88" s="3">
        <v>10</v>
      </c>
      <c r="F88" s="3">
        <v>50</v>
      </c>
      <c r="G88" s="3">
        <v>0</v>
      </c>
      <c r="H88" s="3">
        <v>0</v>
      </c>
      <c r="I88" s="2">
        <v>0.09</v>
      </c>
      <c r="J88" s="2">
        <v>3</v>
      </c>
      <c r="K88" s="2" t="s">
        <v>89</v>
      </c>
      <c r="L88" s="4"/>
      <c r="M88" s="2">
        <v>0.5</v>
      </c>
      <c r="O88" s="12"/>
      <c r="P88" s="8"/>
      <c r="Q88" s="8"/>
    </row>
    <row r="89" spans="1:17" x14ac:dyDescent="0.25">
      <c r="A89" s="2" t="s">
        <v>40</v>
      </c>
      <c r="B89" s="3">
        <v>4.7</v>
      </c>
      <c r="C89" s="3">
        <v>6.1</v>
      </c>
      <c r="D89" s="3">
        <v>0</v>
      </c>
      <c r="E89" s="3">
        <v>10</v>
      </c>
      <c r="F89" s="3">
        <v>0</v>
      </c>
      <c r="G89" s="3">
        <v>90</v>
      </c>
      <c r="H89" s="3">
        <v>0</v>
      </c>
      <c r="I89" s="2">
        <v>0.09</v>
      </c>
      <c r="J89" s="2">
        <v>4</v>
      </c>
      <c r="K89" s="2" t="s">
        <v>89</v>
      </c>
      <c r="L89" s="4"/>
      <c r="M89" s="2">
        <v>0.5</v>
      </c>
      <c r="O89" s="12"/>
      <c r="P89" s="8"/>
      <c r="Q89" s="8"/>
    </row>
    <row r="90" spans="1:17" x14ac:dyDescent="0.25">
      <c r="A90" s="2" t="s">
        <v>41</v>
      </c>
      <c r="B90" s="3">
        <v>4.7</v>
      </c>
      <c r="C90" s="3">
        <v>6.1</v>
      </c>
      <c r="D90" s="3">
        <v>20</v>
      </c>
      <c r="E90" s="3">
        <v>45</v>
      </c>
      <c r="F90" s="3">
        <v>0</v>
      </c>
      <c r="G90" s="3">
        <v>0</v>
      </c>
      <c r="H90" s="3">
        <v>0</v>
      </c>
      <c r="I90" s="2">
        <v>0.09</v>
      </c>
      <c r="J90" s="2">
        <v>5</v>
      </c>
      <c r="K90" s="2" t="s">
        <v>89</v>
      </c>
      <c r="L90" s="4"/>
      <c r="M90" s="2">
        <v>0.5</v>
      </c>
      <c r="O90" s="12"/>
      <c r="P90" s="8"/>
      <c r="Q90" s="8"/>
    </row>
    <row r="91" spans="1:17" x14ac:dyDescent="0.25">
      <c r="A91" s="2" t="s">
        <v>42</v>
      </c>
      <c r="B91" s="3">
        <v>4.7</v>
      </c>
      <c r="C91" s="3">
        <v>6.1</v>
      </c>
      <c r="D91" s="3">
        <v>10</v>
      </c>
      <c r="E91" s="3">
        <v>10</v>
      </c>
      <c r="F91" s="3">
        <v>35</v>
      </c>
      <c r="G91" s="3">
        <v>0</v>
      </c>
      <c r="H91" s="3">
        <v>0</v>
      </c>
      <c r="I91" s="2">
        <v>0.09</v>
      </c>
      <c r="J91" s="2">
        <v>6</v>
      </c>
      <c r="K91" s="2" t="s">
        <v>89</v>
      </c>
      <c r="L91" s="4"/>
      <c r="M91" s="2">
        <v>0.5</v>
      </c>
      <c r="O91" s="12"/>
      <c r="P91" s="8"/>
      <c r="Q91" s="8"/>
    </row>
    <row r="92" spans="1:17" x14ac:dyDescent="0.25">
      <c r="A92" s="2" t="s">
        <v>43</v>
      </c>
      <c r="B92" s="3">
        <v>4.7</v>
      </c>
      <c r="C92" s="3">
        <v>6.1</v>
      </c>
      <c r="D92" s="3">
        <v>20</v>
      </c>
      <c r="E92" s="3">
        <v>10</v>
      </c>
      <c r="F92" s="3">
        <v>0</v>
      </c>
      <c r="G92" s="3">
        <v>40</v>
      </c>
      <c r="H92" s="3">
        <v>0</v>
      </c>
      <c r="I92" s="2">
        <v>0.09</v>
      </c>
      <c r="J92" s="2">
        <v>7</v>
      </c>
      <c r="K92" s="2" t="s">
        <v>89</v>
      </c>
      <c r="L92" s="4"/>
      <c r="M92" s="2">
        <v>0.5</v>
      </c>
      <c r="O92" s="12"/>
      <c r="P92" s="8"/>
      <c r="Q92" s="8"/>
    </row>
    <row r="93" spans="1:17" x14ac:dyDescent="0.25">
      <c r="A93" s="2" t="s">
        <v>44</v>
      </c>
      <c r="B93" s="3">
        <v>4.7</v>
      </c>
      <c r="C93" s="3">
        <v>6.1</v>
      </c>
      <c r="D93" s="3">
        <v>0</v>
      </c>
      <c r="E93" s="3">
        <v>20</v>
      </c>
      <c r="F93" s="3">
        <v>0</v>
      </c>
      <c r="G93" s="3">
        <v>0</v>
      </c>
      <c r="H93" s="3">
        <v>0</v>
      </c>
      <c r="I93" s="2">
        <v>0.09</v>
      </c>
      <c r="J93" s="2">
        <v>1</v>
      </c>
      <c r="K93" s="2" t="s">
        <v>91</v>
      </c>
      <c r="M93" s="2" t="s">
        <v>92</v>
      </c>
      <c r="N93" s="2" t="s">
        <v>214</v>
      </c>
      <c r="O93" s="12">
        <v>0.996</v>
      </c>
      <c r="P93" s="8">
        <v>5.99</v>
      </c>
      <c r="Q93" s="8"/>
    </row>
    <row r="94" spans="1:17" x14ac:dyDescent="0.25">
      <c r="A94" s="2" t="s">
        <v>45</v>
      </c>
      <c r="B94" s="3">
        <v>4.7</v>
      </c>
      <c r="C94" s="3">
        <v>6.1</v>
      </c>
      <c r="D94" s="3">
        <v>0</v>
      </c>
      <c r="E94" s="3">
        <v>95</v>
      </c>
      <c r="F94" s="3">
        <v>0</v>
      </c>
      <c r="G94" s="3">
        <v>0</v>
      </c>
      <c r="H94" s="3">
        <v>0</v>
      </c>
      <c r="I94" s="2">
        <v>0.09</v>
      </c>
      <c r="J94" s="2">
        <v>2</v>
      </c>
      <c r="K94" s="2" t="s">
        <v>91</v>
      </c>
      <c r="M94" s="2" t="s">
        <v>92</v>
      </c>
      <c r="N94" s="2" t="s">
        <v>214</v>
      </c>
      <c r="O94" s="12">
        <v>0.92700000000000005</v>
      </c>
      <c r="P94" s="8"/>
      <c r="Q94" s="8"/>
    </row>
    <row r="95" spans="1:17" x14ac:dyDescent="0.25">
      <c r="A95" s="2" t="s">
        <v>46</v>
      </c>
      <c r="B95" s="3">
        <v>4.7</v>
      </c>
      <c r="C95" s="3">
        <v>6.1</v>
      </c>
      <c r="D95" s="3">
        <v>0</v>
      </c>
      <c r="E95" s="3">
        <v>10</v>
      </c>
      <c r="F95" s="3">
        <v>50</v>
      </c>
      <c r="G95" s="3">
        <v>0</v>
      </c>
      <c r="H95" s="3">
        <v>0</v>
      </c>
      <c r="I95" s="2">
        <v>0.09</v>
      </c>
      <c r="J95" s="2">
        <v>3</v>
      </c>
      <c r="K95" s="2" t="s">
        <v>91</v>
      </c>
      <c r="M95" s="2" t="s">
        <v>92</v>
      </c>
      <c r="N95" s="2" t="s">
        <v>214</v>
      </c>
      <c r="O95" s="12">
        <v>0.93799999999999994</v>
      </c>
      <c r="P95" s="8"/>
      <c r="Q95" s="8"/>
    </row>
    <row r="96" spans="1:17" x14ac:dyDescent="0.25">
      <c r="A96" s="2" t="s">
        <v>47</v>
      </c>
      <c r="B96" s="3">
        <v>4.7</v>
      </c>
      <c r="C96" s="3">
        <v>6.1</v>
      </c>
      <c r="D96" s="3">
        <v>0</v>
      </c>
      <c r="E96" s="3">
        <v>10</v>
      </c>
      <c r="F96" s="3">
        <v>0</v>
      </c>
      <c r="G96" s="3">
        <v>90</v>
      </c>
      <c r="H96" s="3">
        <v>0</v>
      </c>
      <c r="I96" s="2">
        <v>0.09</v>
      </c>
      <c r="J96" s="2">
        <v>4</v>
      </c>
      <c r="K96" s="2" t="s">
        <v>91</v>
      </c>
      <c r="M96" s="2" t="s">
        <v>92</v>
      </c>
      <c r="N96" s="2" t="s">
        <v>214</v>
      </c>
      <c r="O96" s="12">
        <v>0.95399999999999996</v>
      </c>
      <c r="P96" s="8"/>
      <c r="Q96" s="8"/>
    </row>
    <row r="97" spans="1:17" x14ac:dyDescent="0.25">
      <c r="A97" s="2" t="s">
        <v>48</v>
      </c>
      <c r="B97" s="3">
        <v>4.7</v>
      </c>
      <c r="C97" s="3">
        <v>6.1</v>
      </c>
      <c r="D97" s="3">
        <v>20</v>
      </c>
      <c r="E97" s="3">
        <v>45</v>
      </c>
      <c r="F97" s="3">
        <v>0</v>
      </c>
      <c r="G97" s="3">
        <v>0</v>
      </c>
      <c r="H97" s="3">
        <v>0</v>
      </c>
      <c r="I97" s="2">
        <v>0.09</v>
      </c>
      <c r="J97" s="2">
        <v>5</v>
      </c>
      <c r="K97" s="2" t="s">
        <v>91</v>
      </c>
      <c r="M97" s="2" t="s">
        <v>92</v>
      </c>
      <c r="N97" s="2" t="s">
        <v>214</v>
      </c>
      <c r="O97" s="12">
        <v>1.07</v>
      </c>
      <c r="P97" s="8"/>
      <c r="Q97" s="8"/>
    </row>
    <row r="98" spans="1:17" x14ac:dyDescent="0.25">
      <c r="A98" s="2" t="s">
        <v>49</v>
      </c>
      <c r="B98" s="3">
        <v>4.7</v>
      </c>
      <c r="C98" s="3">
        <v>6.1</v>
      </c>
      <c r="D98" s="3">
        <v>10</v>
      </c>
      <c r="E98" s="3">
        <v>10</v>
      </c>
      <c r="F98" s="3">
        <v>35</v>
      </c>
      <c r="G98" s="3">
        <v>0</v>
      </c>
      <c r="H98" s="3">
        <v>0</v>
      </c>
      <c r="I98" s="2">
        <v>0.09</v>
      </c>
      <c r="J98" s="2">
        <v>6</v>
      </c>
      <c r="K98" s="2" t="s">
        <v>91</v>
      </c>
      <c r="M98" s="2" t="s">
        <v>92</v>
      </c>
      <c r="N98" s="2" t="s">
        <v>214</v>
      </c>
      <c r="O98" s="12">
        <v>1.0469999999999999</v>
      </c>
      <c r="P98" s="8"/>
      <c r="Q98" s="8"/>
    </row>
    <row r="99" spans="1:17" x14ac:dyDescent="0.25">
      <c r="A99" s="2" t="s">
        <v>50</v>
      </c>
      <c r="B99" s="3">
        <v>4.7</v>
      </c>
      <c r="C99" s="3">
        <v>6.1</v>
      </c>
      <c r="D99" s="3">
        <v>20</v>
      </c>
      <c r="E99" s="3">
        <v>10</v>
      </c>
      <c r="F99" s="3">
        <v>0</v>
      </c>
      <c r="G99" s="3">
        <v>40</v>
      </c>
      <c r="H99" s="3">
        <v>0</v>
      </c>
      <c r="I99" s="2">
        <v>0.09</v>
      </c>
      <c r="J99" s="2">
        <v>7</v>
      </c>
      <c r="K99" s="2" t="s">
        <v>91</v>
      </c>
      <c r="M99" s="2" t="s">
        <v>92</v>
      </c>
      <c r="N99" s="2" t="s">
        <v>214</v>
      </c>
      <c r="O99" s="12">
        <v>1.0549999999999999</v>
      </c>
      <c r="P99" s="8"/>
      <c r="Q99" s="8"/>
    </row>
    <row r="100" spans="1:17" x14ac:dyDescent="0.25">
      <c r="A100" s="2" t="s">
        <v>51</v>
      </c>
      <c r="B100" s="3">
        <v>4.7</v>
      </c>
      <c r="C100" s="3">
        <v>6.1</v>
      </c>
      <c r="D100" s="3">
        <v>0</v>
      </c>
      <c r="E100" s="3">
        <v>20</v>
      </c>
      <c r="F100" s="3">
        <v>0</v>
      </c>
      <c r="G100" s="3">
        <v>0</v>
      </c>
      <c r="H100" s="3">
        <v>0</v>
      </c>
      <c r="I100" s="2">
        <v>0.09</v>
      </c>
      <c r="J100" s="2">
        <v>1</v>
      </c>
      <c r="K100" s="2" t="s">
        <v>88</v>
      </c>
      <c r="L100" s="4"/>
      <c r="M100" s="2">
        <v>1</v>
      </c>
      <c r="O100" s="12"/>
      <c r="P100" s="8"/>
      <c r="Q100" s="8"/>
    </row>
    <row r="101" spans="1:17" x14ac:dyDescent="0.25">
      <c r="A101" s="2" t="s">
        <v>52</v>
      </c>
      <c r="B101" s="3">
        <v>4.7</v>
      </c>
      <c r="C101" s="3">
        <v>6.1</v>
      </c>
      <c r="D101" s="3">
        <v>0</v>
      </c>
      <c r="E101" s="3">
        <v>95</v>
      </c>
      <c r="F101" s="3">
        <v>0</v>
      </c>
      <c r="G101" s="3">
        <v>0</v>
      </c>
      <c r="H101" s="3">
        <v>0</v>
      </c>
      <c r="I101" s="2">
        <v>0.09</v>
      </c>
      <c r="J101" s="2">
        <v>2</v>
      </c>
      <c r="K101" s="2" t="s">
        <v>88</v>
      </c>
      <c r="L101" s="4"/>
      <c r="M101" s="2">
        <v>1</v>
      </c>
      <c r="O101" s="12"/>
      <c r="P101" s="8"/>
      <c r="Q101" s="8"/>
    </row>
    <row r="102" spans="1:17" x14ac:dyDescent="0.25">
      <c r="A102" s="2" t="s">
        <v>53</v>
      </c>
      <c r="B102" s="3">
        <v>4.7</v>
      </c>
      <c r="C102" s="3">
        <v>6.1</v>
      </c>
      <c r="D102" s="3">
        <v>0</v>
      </c>
      <c r="E102" s="3">
        <v>10</v>
      </c>
      <c r="F102" s="3">
        <v>50</v>
      </c>
      <c r="G102" s="3">
        <v>0</v>
      </c>
      <c r="H102" s="3">
        <v>0</v>
      </c>
      <c r="I102" s="2">
        <v>0.09</v>
      </c>
      <c r="J102" s="2">
        <v>3</v>
      </c>
      <c r="K102" s="2" t="s">
        <v>88</v>
      </c>
      <c r="L102" s="4"/>
      <c r="M102" s="2">
        <v>1</v>
      </c>
      <c r="O102" s="12"/>
      <c r="P102" s="8"/>
      <c r="Q102" s="8"/>
    </row>
    <row r="103" spans="1:17" x14ac:dyDescent="0.25">
      <c r="A103" s="2" t="s">
        <v>54</v>
      </c>
      <c r="B103" s="3">
        <v>4.7</v>
      </c>
      <c r="C103" s="3">
        <v>6.1</v>
      </c>
      <c r="D103" s="3">
        <v>0</v>
      </c>
      <c r="E103" s="3">
        <v>10</v>
      </c>
      <c r="F103" s="3">
        <v>0</v>
      </c>
      <c r="G103" s="3">
        <v>90</v>
      </c>
      <c r="H103" s="3">
        <v>0</v>
      </c>
      <c r="I103" s="2">
        <v>0.09</v>
      </c>
      <c r="J103" s="2">
        <v>4</v>
      </c>
      <c r="K103" s="2" t="s">
        <v>88</v>
      </c>
      <c r="L103" s="4"/>
      <c r="M103" s="2">
        <v>1</v>
      </c>
      <c r="O103" s="12"/>
      <c r="P103" s="8"/>
      <c r="Q103" s="8"/>
    </row>
    <row r="104" spans="1:17" x14ac:dyDescent="0.25">
      <c r="A104" s="2" t="s">
        <v>55</v>
      </c>
      <c r="B104" s="3">
        <v>4.7</v>
      </c>
      <c r="C104" s="3">
        <v>6.1</v>
      </c>
      <c r="D104" s="3">
        <v>20</v>
      </c>
      <c r="E104" s="3">
        <v>45</v>
      </c>
      <c r="F104" s="3">
        <v>0</v>
      </c>
      <c r="G104" s="3">
        <v>0</v>
      </c>
      <c r="H104" s="3">
        <v>0</v>
      </c>
      <c r="I104" s="2">
        <v>0.09</v>
      </c>
      <c r="J104" s="2">
        <v>5</v>
      </c>
      <c r="K104" s="2" t="s">
        <v>88</v>
      </c>
      <c r="L104" s="4"/>
      <c r="M104" s="2">
        <v>1</v>
      </c>
      <c r="O104" s="12"/>
      <c r="P104" s="8"/>
      <c r="Q104" s="8"/>
    </row>
    <row r="105" spans="1:17" x14ac:dyDescent="0.25">
      <c r="A105" s="2" t="s">
        <v>56</v>
      </c>
      <c r="B105" s="3">
        <v>4.7</v>
      </c>
      <c r="C105" s="3">
        <v>6.1</v>
      </c>
      <c r="D105" s="3">
        <v>10</v>
      </c>
      <c r="E105" s="3">
        <v>10</v>
      </c>
      <c r="F105" s="3">
        <v>35</v>
      </c>
      <c r="G105" s="3">
        <v>0</v>
      </c>
      <c r="H105" s="3">
        <v>0</v>
      </c>
      <c r="I105" s="2">
        <v>0.09</v>
      </c>
      <c r="J105" s="2">
        <v>6</v>
      </c>
      <c r="K105" s="2" t="s">
        <v>88</v>
      </c>
      <c r="L105" s="4"/>
      <c r="M105" s="2">
        <v>1</v>
      </c>
      <c r="O105" s="12"/>
      <c r="P105" s="8"/>
      <c r="Q105" s="8"/>
    </row>
    <row r="106" spans="1:17" x14ac:dyDescent="0.25">
      <c r="A106" s="2" t="s">
        <v>57</v>
      </c>
      <c r="B106" s="3">
        <v>4.7</v>
      </c>
      <c r="C106" s="3">
        <v>6.1</v>
      </c>
      <c r="D106" s="3">
        <v>20</v>
      </c>
      <c r="E106" s="3">
        <v>10</v>
      </c>
      <c r="F106" s="3">
        <v>0</v>
      </c>
      <c r="G106" s="3">
        <v>40</v>
      </c>
      <c r="H106" s="3">
        <v>0</v>
      </c>
      <c r="I106" s="2">
        <v>0.09</v>
      </c>
      <c r="J106" s="2">
        <v>7</v>
      </c>
      <c r="K106" s="2" t="s">
        <v>88</v>
      </c>
      <c r="L106" s="4"/>
      <c r="M106" s="2">
        <v>1</v>
      </c>
      <c r="O106" s="12"/>
      <c r="P106" s="8"/>
      <c r="Q106" s="8"/>
    </row>
    <row r="107" spans="1:17" x14ac:dyDescent="0.25">
      <c r="A107" s="2" t="s">
        <v>58</v>
      </c>
      <c r="B107" s="3">
        <v>4.7</v>
      </c>
      <c r="C107" s="3">
        <v>6.1</v>
      </c>
      <c r="D107" s="3">
        <v>0</v>
      </c>
      <c r="E107" s="3">
        <v>20</v>
      </c>
      <c r="F107" s="3">
        <v>0</v>
      </c>
      <c r="G107" s="3">
        <v>0</v>
      </c>
      <c r="H107" s="3">
        <v>0</v>
      </c>
      <c r="I107" s="2">
        <v>0.09</v>
      </c>
      <c r="J107" s="2">
        <v>1</v>
      </c>
      <c r="K107" s="2" t="s">
        <v>88</v>
      </c>
      <c r="L107" s="4"/>
      <c r="M107" s="2">
        <v>3</v>
      </c>
      <c r="O107" s="12"/>
      <c r="P107" s="8"/>
      <c r="Q107" s="8"/>
    </row>
    <row r="108" spans="1:17" x14ac:dyDescent="0.25">
      <c r="A108" s="2" t="s">
        <v>59</v>
      </c>
      <c r="B108" s="3">
        <v>4.7</v>
      </c>
      <c r="C108" s="3">
        <v>6.1</v>
      </c>
      <c r="D108" s="3">
        <v>0</v>
      </c>
      <c r="E108" s="3">
        <v>95</v>
      </c>
      <c r="F108" s="3">
        <v>0</v>
      </c>
      <c r="G108" s="3">
        <v>0</v>
      </c>
      <c r="H108" s="3">
        <v>0</v>
      </c>
      <c r="I108" s="2">
        <v>0.09</v>
      </c>
      <c r="J108" s="2">
        <v>2</v>
      </c>
      <c r="K108" s="2" t="s">
        <v>88</v>
      </c>
      <c r="L108" s="4"/>
      <c r="M108" s="2">
        <v>3</v>
      </c>
      <c r="O108" s="12"/>
      <c r="P108" s="8"/>
      <c r="Q108" s="8"/>
    </row>
    <row r="109" spans="1:17" x14ac:dyDescent="0.25">
      <c r="A109" s="2" t="s">
        <v>60</v>
      </c>
      <c r="B109" s="3">
        <v>4.7</v>
      </c>
      <c r="C109" s="3">
        <v>6.1</v>
      </c>
      <c r="D109" s="3">
        <v>0</v>
      </c>
      <c r="E109" s="3">
        <v>10</v>
      </c>
      <c r="F109" s="3">
        <v>50</v>
      </c>
      <c r="G109" s="3">
        <v>0</v>
      </c>
      <c r="H109" s="3">
        <v>0</v>
      </c>
      <c r="I109" s="2">
        <v>0.09</v>
      </c>
      <c r="J109" s="2">
        <v>3</v>
      </c>
      <c r="K109" s="2" t="s">
        <v>88</v>
      </c>
      <c r="L109" s="4"/>
      <c r="M109" s="2">
        <v>3</v>
      </c>
      <c r="O109" s="12"/>
      <c r="P109" s="8"/>
      <c r="Q109" s="8"/>
    </row>
    <row r="110" spans="1:17" x14ac:dyDescent="0.25">
      <c r="A110" s="2" t="s">
        <v>61</v>
      </c>
      <c r="B110" s="3">
        <v>4.7</v>
      </c>
      <c r="C110" s="3">
        <v>6.1</v>
      </c>
      <c r="D110" s="3">
        <v>0</v>
      </c>
      <c r="E110" s="3">
        <v>10</v>
      </c>
      <c r="F110" s="3">
        <v>0</v>
      </c>
      <c r="G110" s="3">
        <v>90</v>
      </c>
      <c r="H110" s="3">
        <v>0</v>
      </c>
      <c r="I110" s="2">
        <v>0.09</v>
      </c>
      <c r="J110" s="2">
        <v>4</v>
      </c>
      <c r="K110" s="2" t="s">
        <v>88</v>
      </c>
      <c r="L110" s="4"/>
      <c r="M110" s="2">
        <v>3</v>
      </c>
      <c r="O110" s="12"/>
      <c r="P110" s="8"/>
      <c r="Q110" s="8"/>
    </row>
    <row r="111" spans="1:17" x14ac:dyDescent="0.25">
      <c r="A111" s="2" t="s">
        <v>62</v>
      </c>
      <c r="B111" s="3">
        <v>4.7</v>
      </c>
      <c r="C111" s="3">
        <v>6.1</v>
      </c>
      <c r="D111" s="3">
        <v>20</v>
      </c>
      <c r="E111" s="3">
        <v>45</v>
      </c>
      <c r="F111" s="3">
        <v>0</v>
      </c>
      <c r="G111" s="3">
        <v>0</v>
      </c>
      <c r="H111" s="3">
        <v>0</v>
      </c>
      <c r="I111" s="2">
        <v>0.09</v>
      </c>
      <c r="J111" s="2">
        <v>5</v>
      </c>
      <c r="K111" s="2" t="s">
        <v>88</v>
      </c>
      <c r="L111" s="4"/>
      <c r="M111" s="2">
        <v>3</v>
      </c>
      <c r="O111" s="12"/>
      <c r="P111" s="8"/>
      <c r="Q111" s="8"/>
    </row>
    <row r="112" spans="1:17" x14ac:dyDescent="0.25">
      <c r="A112" s="2" t="s">
        <v>63</v>
      </c>
      <c r="B112" s="3">
        <v>4.7</v>
      </c>
      <c r="C112" s="3">
        <v>6.1</v>
      </c>
      <c r="D112" s="3">
        <v>10</v>
      </c>
      <c r="E112" s="3">
        <v>10</v>
      </c>
      <c r="F112" s="3">
        <v>35</v>
      </c>
      <c r="G112" s="3">
        <v>0</v>
      </c>
      <c r="H112" s="3">
        <v>0</v>
      </c>
      <c r="I112" s="2">
        <v>0.09</v>
      </c>
      <c r="J112" s="2">
        <v>6</v>
      </c>
      <c r="K112" s="2" t="s">
        <v>88</v>
      </c>
      <c r="L112" s="4"/>
      <c r="M112" s="2">
        <v>3</v>
      </c>
      <c r="O112" s="12"/>
      <c r="P112" s="8"/>
      <c r="Q112" s="8"/>
    </row>
    <row r="113" spans="1:24" x14ac:dyDescent="0.25">
      <c r="A113" s="2" t="s">
        <v>64</v>
      </c>
      <c r="B113" s="3">
        <v>4.7</v>
      </c>
      <c r="C113" s="3">
        <v>6.1</v>
      </c>
      <c r="D113" s="3">
        <v>20</v>
      </c>
      <c r="E113" s="3">
        <v>10</v>
      </c>
      <c r="F113" s="3">
        <v>0</v>
      </c>
      <c r="G113" s="3">
        <v>40</v>
      </c>
      <c r="H113" s="3">
        <v>0</v>
      </c>
      <c r="I113" s="2">
        <v>0.09</v>
      </c>
      <c r="J113" s="2">
        <v>7</v>
      </c>
      <c r="K113" s="2" t="s">
        <v>88</v>
      </c>
      <c r="L113" s="4"/>
      <c r="M113" s="2">
        <v>3</v>
      </c>
      <c r="O113" s="12"/>
      <c r="P113" s="8"/>
      <c r="Q113" s="8"/>
    </row>
    <row r="114" spans="1:24" x14ac:dyDescent="0.25">
      <c r="A114" s="2" t="s">
        <v>65</v>
      </c>
      <c r="B114" s="3">
        <v>4.7</v>
      </c>
      <c r="C114" s="3">
        <v>6.1</v>
      </c>
      <c r="D114" s="3">
        <v>0</v>
      </c>
      <c r="E114" s="3">
        <v>20</v>
      </c>
      <c r="F114" s="3">
        <v>0</v>
      </c>
      <c r="G114" s="3">
        <v>0</v>
      </c>
      <c r="H114" s="3">
        <v>0</v>
      </c>
      <c r="I114" s="2">
        <v>0.09</v>
      </c>
      <c r="J114" s="2">
        <v>1</v>
      </c>
      <c r="K114" s="2" t="s">
        <v>88</v>
      </c>
      <c r="L114" s="4"/>
      <c r="M114" s="2">
        <v>6</v>
      </c>
      <c r="O114" s="12"/>
      <c r="P114" s="8"/>
      <c r="Q114" s="8"/>
    </row>
    <row r="115" spans="1:24" x14ac:dyDescent="0.25">
      <c r="A115" s="2" t="s">
        <v>66</v>
      </c>
      <c r="B115" s="3">
        <v>4.7</v>
      </c>
      <c r="C115" s="3">
        <v>6.1</v>
      </c>
      <c r="D115" s="3">
        <v>0</v>
      </c>
      <c r="E115" s="3">
        <v>95</v>
      </c>
      <c r="F115" s="3">
        <v>0</v>
      </c>
      <c r="G115" s="3">
        <v>0</v>
      </c>
      <c r="H115" s="3">
        <v>0</v>
      </c>
      <c r="I115" s="2">
        <v>0.09</v>
      </c>
      <c r="J115" s="2">
        <v>2</v>
      </c>
      <c r="K115" s="2" t="s">
        <v>88</v>
      </c>
      <c r="L115" s="4"/>
      <c r="M115" s="2">
        <v>6</v>
      </c>
      <c r="O115" s="12"/>
      <c r="P115" s="8"/>
      <c r="Q115" s="8"/>
    </row>
    <row r="116" spans="1:24" x14ac:dyDescent="0.25">
      <c r="A116" s="2" t="s">
        <v>67</v>
      </c>
      <c r="B116" s="3">
        <v>4.7</v>
      </c>
      <c r="C116" s="3">
        <v>6.1</v>
      </c>
      <c r="D116" s="3">
        <v>0</v>
      </c>
      <c r="E116" s="3">
        <v>10</v>
      </c>
      <c r="F116" s="3">
        <v>50</v>
      </c>
      <c r="G116" s="3">
        <v>0</v>
      </c>
      <c r="H116" s="3">
        <v>0</v>
      </c>
      <c r="I116" s="2">
        <v>0.09</v>
      </c>
      <c r="J116" s="2">
        <v>3</v>
      </c>
      <c r="K116" s="2" t="s">
        <v>88</v>
      </c>
      <c r="L116" s="4"/>
      <c r="M116" s="2">
        <v>6</v>
      </c>
      <c r="O116" s="12"/>
      <c r="P116" s="8"/>
      <c r="Q116" s="8"/>
    </row>
    <row r="117" spans="1:24" x14ac:dyDescent="0.25">
      <c r="A117" s="2" t="s">
        <v>68</v>
      </c>
      <c r="B117" s="3">
        <v>4.7</v>
      </c>
      <c r="C117" s="3">
        <v>6.1</v>
      </c>
      <c r="D117" s="3">
        <v>0</v>
      </c>
      <c r="E117" s="3">
        <v>10</v>
      </c>
      <c r="F117" s="3">
        <v>0</v>
      </c>
      <c r="G117" s="3">
        <v>90</v>
      </c>
      <c r="H117" s="3">
        <v>0</v>
      </c>
      <c r="I117" s="2">
        <v>0.09</v>
      </c>
      <c r="J117" s="2">
        <v>4</v>
      </c>
      <c r="K117" s="2" t="s">
        <v>88</v>
      </c>
      <c r="L117" s="4"/>
      <c r="M117" s="2">
        <v>6</v>
      </c>
      <c r="O117" s="12"/>
      <c r="P117" s="8"/>
      <c r="Q117" s="8"/>
    </row>
    <row r="118" spans="1:24" x14ac:dyDescent="0.25">
      <c r="A118" s="2" t="s">
        <v>69</v>
      </c>
      <c r="B118" s="3">
        <v>4.7</v>
      </c>
      <c r="C118" s="3">
        <v>6.1</v>
      </c>
      <c r="D118" s="3">
        <v>20</v>
      </c>
      <c r="E118" s="3">
        <v>45</v>
      </c>
      <c r="F118" s="3">
        <v>0</v>
      </c>
      <c r="G118" s="3">
        <v>0</v>
      </c>
      <c r="H118" s="3">
        <v>0</v>
      </c>
      <c r="I118" s="2">
        <v>0.09</v>
      </c>
      <c r="J118" s="2">
        <v>5</v>
      </c>
      <c r="K118" s="2" t="s">
        <v>88</v>
      </c>
      <c r="L118" s="4"/>
      <c r="M118" s="2">
        <v>6</v>
      </c>
      <c r="O118" s="12"/>
      <c r="P118" s="8"/>
      <c r="Q118" s="8"/>
    </row>
    <row r="119" spans="1:24" x14ac:dyDescent="0.25">
      <c r="A119" s="2" t="s">
        <v>70</v>
      </c>
      <c r="B119" s="3">
        <v>4.7</v>
      </c>
      <c r="C119" s="3">
        <v>6.1</v>
      </c>
      <c r="D119" s="3">
        <v>10</v>
      </c>
      <c r="E119" s="3">
        <v>10</v>
      </c>
      <c r="F119" s="3">
        <v>35</v>
      </c>
      <c r="G119" s="3">
        <v>0</v>
      </c>
      <c r="H119" s="3">
        <v>0</v>
      </c>
      <c r="I119" s="2">
        <v>0.09</v>
      </c>
      <c r="J119" s="2">
        <v>6</v>
      </c>
      <c r="K119" s="2" t="s">
        <v>88</v>
      </c>
      <c r="L119" s="4"/>
      <c r="M119" s="2">
        <v>6</v>
      </c>
      <c r="O119" s="12"/>
      <c r="P119" s="8"/>
      <c r="Q119" s="8"/>
    </row>
    <row r="120" spans="1:24" x14ac:dyDescent="0.25">
      <c r="A120" s="2" t="s">
        <v>71</v>
      </c>
      <c r="B120" s="3">
        <v>4.7</v>
      </c>
      <c r="C120" s="3">
        <v>6.1</v>
      </c>
      <c r="D120" s="3">
        <v>20</v>
      </c>
      <c r="E120" s="3">
        <v>10</v>
      </c>
      <c r="F120" s="3">
        <v>0</v>
      </c>
      <c r="G120" s="3">
        <v>40</v>
      </c>
      <c r="H120" s="3">
        <v>0</v>
      </c>
      <c r="I120" s="2">
        <v>0.09</v>
      </c>
      <c r="J120" s="2">
        <v>7</v>
      </c>
      <c r="K120" s="2" t="s">
        <v>88</v>
      </c>
      <c r="L120" s="4"/>
      <c r="M120" s="2">
        <v>6</v>
      </c>
      <c r="O120" s="12"/>
      <c r="P120" s="8"/>
      <c r="Q120" s="8"/>
    </row>
    <row r="121" spans="1:24" x14ac:dyDescent="0.25">
      <c r="A121" s="2" t="s">
        <v>95</v>
      </c>
      <c r="B121" s="2">
        <v>4.7</v>
      </c>
      <c r="C121" s="2">
        <v>6.1</v>
      </c>
      <c r="D121" s="2">
        <v>0</v>
      </c>
      <c r="E121" s="2">
        <v>20</v>
      </c>
      <c r="F121" s="2">
        <v>40</v>
      </c>
      <c r="G121" s="2">
        <v>0</v>
      </c>
      <c r="H121" s="3">
        <v>0</v>
      </c>
      <c r="I121" s="2">
        <v>0.09</v>
      </c>
      <c r="J121" s="2">
        <v>8</v>
      </c>
      <c r="K121" s="2" t="s">
        <v>88</v>
      </c>
      <c r="L121" s="4">
        <v>45889</v>
      </c>
      <c r="M121" s="2">
        <v>0</v>
      </c>
      <c r="N121" s="2" t="s">
        <v>214</v>
      </c>
      <c r="O121" s="12">
        <v>0.91200000000000003</v>
      </c>
      <c r="P121" s="8">
        <v>6.15</v>
      </c>
      <c r="Q121" s="2">
        <v>76596</v>
      </c>
      <c r="R121" s="2">
        <v>0.41</v>
      </c>
      <c r="S121" s="2">
        <v>98.63</v>
      </c>
      <c r="T121" s="2">
        <v>0.95</v>
      </c>
      <c r="U121" s="2">
        <v>1368489</v>
      </c>
      <c r="V121" s="2">
        <v>60.59</v>
      </c>
      <c r="W121" s="2">
        <v>60.6</v>
      </c>
      <c r="X121" s="2">
        <v>301</v>
      </c>
    </row>
    <row r="122" spans="1:24" x14ac:dyDescent="0.25">
      <c r="A122" s="2" t="s">
        <v>96</v>
      </c>
      <c r="B122" s="2">
        <v>4.7</v>
      </c>
      <c r="C122" s="2">
        <v>6.1</v>
      </c>
      <c r="D122" s="2">
        <v>0</v>
      </c>
      <c r="E122" s="2">
        <v>20</v>
      </c>
      <c r="F122" s="2">
        <v>0</v>
      </c>
      <c r="G122" s="2">
        <v>80</v>
      </c>
      <c r="H122" s="3">
        <v>0</v>
      </c>
      <c r="I122" s="2">
        <v>0.09</v>
      </c>
      <c r="J122" s="2">
        <v>9</v>
      </c>
      <c r="K122" s="2" t="s">
        <v>88</v>
      </c>
      <c r="L122" s="4">
        <v>45889</v>
      </c>
      <c r="M122" s="2">
        <v>0</v>
      </c>
      <c r="N122" s="2" t="s">
        <v>214</v>
      </c>
      <c r="O122" s="12">
        <v>0.88200000000000001</v>
      </c>
      <c r="P122" s="8">
        <v>6.09</v>
      </c>
      <c r="Q122" s="2">
        <v>76601</v>
      </c>
      <c r="R122" s="2">
        <v>0.45</v>
      </c>
      <c r="S122" s="2">
        <v>98.41</v>
      </c>
      <c r="T122" s="2">
        <v>1.1399999999999999</v>
      </c>
      <c r="U122" s="2">
        <v>1332980</v>
      </c>
      <c r="V122" s="2">
        <v>60.91</v>
      </c>
      <c r="W122" s="2">
        <v>57.1</v>
      </c>
      <c r="X122" s="2">
        <v>319</v>
      </c>
    </row>
    <row r="123" spans="1:24" x14ac:dyDescent="0.25">
      <c r="A123" s="2" t="s">
        <v>97</v>
      </c>
      <c r="B123" s="2">
        <v>4.7</v>
      </c>
      <c r="C123" s="2">
        <v>6.1</v>
      </c>
      <c r="D123" s="2">
        <v>10</v>
      </c>
      <c r="E123" s="2">
        <v>20</v>
      </c>
      <c r="F123" s="2">
        <v>30</v>
      </c>
      <c r="G123" s="2">
        <v>0</v>
      </c>
      <c r="H123" s="3">
        <v>0</v>
      </c>
      <c r="I123" s="2">
        <v>0.09</v>
      </c>
      <c r="J123" s="2">
        <v>10</v>
      </c>
      <c r="K123" s="2" t="s">
        <v>88</v>
      </c>
      <c r="L123" s="4">
        <v>45889</v>
      </c>
      <c r="M123" s="2">
        <v>0</v>
      </c>
      <c r="N123" s="2" t="s">
        <v>214</v>
      </c>
      <c r="O123" s="12">
        <v>1.0149999999999999</v>
      </c>
      <c r="P123" s="8">
        <v>6.14</v>
      </c>
      <c r="Q123" s="2">
        <v>76606</v>
      </c>
      <c r="R123" s="2">
        <v>1.59</v>
      </c>
      <c r="S123" s="2">
        <v>97.56</v>
      </c>
      <c r="T123" s="2">
        <v>0.86</v>
      </c>
      <c r="U123" s="2">
        <v>1532941</v>
      </c>
      <c r="V123" s="2">
        <v>58.86</v>
      </c>
      <c r="W123" s="2">
        <v>54.74</v>
      </c>
      <c r="X123" s="2">
        <v>407</v>
      </c>
    </row>
    <row r="124" spans="1:24" x14ac:dyDescent="0.25">
      <c r="A124" s="2" t="s">
        <v>98</v>
      </c>
      <c r="B124" s="2">
        <v>4.7</v>
      </c>
      <c r="C124" s="2">
        <v>6.1</v>
      </c>
      <c r="D124" s="2">
        <v>20</v>
      </c>
      <c r="E124" s="2">
        <v>20</v>
      </c>
      <c r="F124" s="2">
        <v>0</v>
      </c>
      <c r="G124" s="2">
        <v>30</v>
      </c>
      <c r="H124" s="3">
        <v>0</v>
      </c>
      <c r="I124" s="2">
        <v>0.09</v>
      </c>
      <c r="J124" s="2">
        <v>11</v>
      </c>
      <c r="K124" s="2" t="s">
        <v>88</v>
      </c>
      <c r="L124" s="4">
        <v>45889</v>
      </c>
      <c r="M124" s="2">
        <v>0</v>
      </c>
      <c r="N124" s="2" t="s">
        <v>214</v>
      </c>
      <c r="O124" s="12">
        <v>1.026</v>
      </c>
      <c r="P124" s="8">
        <v>6.16</v>
      </c>
      <c r="Q124" s="2">
        <v>76615</v>
      </c>
      <c r="R124" s="2">
        <v>1.67</v>
      </c>
      <c r="S124" s="2">
        <v>97.47</v>
      </c>
      <c r="T124" s="2">
        <v>0.87</v>
      </c>
      <c r="U124" s="2">
        <v>1548395</v>
      </c>
      <c r="V124" s="2">
        <v>58</v>
      </c>
      <c r="W124" s="2">
        <v>53.79</v>
      </c>
      <c r="X124" s="2">
        <v>489</v>
      </c>
    </row>
    <row r="125" spans="1:24" x14ac:dyDescent="0.25">
      <c r="A125" s="2" t="s">
        <v>95</v>
      </c>
      <c r="B125" s="2">
        <v>4.7</v>
      </c>
      <c r="C125" s="2">
        <v>6.1</v>
      </c>
      <c r="D125" s="2">
        <v>0</v>
      </c>
      <c r="E125" s="2">
        <v>20</v>
      </c>
      <c r="F125" s="2">
        <v>40</v>
      </c>
      <c r="G125" s="2">
        <v>0</v>
      </c>
      <c r="H125" s="3">
        <v>0</v>
      </c>
      <c r="I125" s="2">
        <v>0.09</v>
      </c>
      <c r="J125" s="2">
        <v>8</v>
      </c>
      <c r="K125" s="2" t="s">
        <v>89</v>
      </c>
      <c r="L125" s="4">
        <v>45889</v>
      </c>
      <c r="M125" s="2">
        <v>0</v>
      </c>
      <c r="N125" s="2" t="s">
        <v>214</v>
      </c>
      <c r="O125" s="12">
        <v>0.91200000000000003</v>
      </c>
      <c r="P125" s="8">
        <v>6.15</v>
      </c>
      <c r="Q125" s="2">
        <v>76596</v>
      </c>
      <c r="R125" s="2">
        <v>0.41</v>
      </c>
      <c r="S125" s="2">
        <v>98.63</v>
      </c>
      <c r="T125" s="2">
        <v>0.95</v>
      </c>
      <c r="U125" s="2">
        <v>1368489</v>
      </c>
      <c r="V125" s="2">
        <v>60.59</v>
      </c>
      <c r="W125" s="2">
        <v>60.6</v>
      </c>
      <c r="X125" s="2">
        <v>301</v>
      </c>
    </row>
    <row r="126" spans="1:24" x14ac:dyDescent="0.25">
      <c r="A126" s="2" t="s">
        <v>96</v>
      </c>
      <c r="B126" s="2">
        <v>4.7</v>
      </c>
      <c r="C126" s="2">
        <v>6.1</v>
      </c>
      <c r="D126" s="2">
        <v>0</v>
      </c>
      <c r="E126" s="2">
        <v>20</v>
      </c>
      <c r="F126" s="2">
        <v>0</v>
      </c>
      <c r="G126" s="2">
        <v>80</v>
      </c>
      <c r="H126" s="3">
        <v>0</v>
      </c>
      <c r="I126" s="2">
        <v>0.09</v>
      </c>
      <c r="J126" s="2">
        <v>9</v>
      </c>
      <c r="K126" s="2" t="s">
        <v>89</v>
      </c>
      <c r="L126" s="4">
        <v>45889</v>
      </c>
      <c r="M126" s="2">
        <v>0</v>
      </c>
      <c r="N126" s="2" t="s">
        <v>214</v>
      </c>
      <c r="O126" s="12">
        <v>0.88200000000000001</v>
      </c>
      <c r="P126" s="8">
        <v>6.09</v>
      </c>
      <c r="Q126" s="2">
        <v>76601</v>
      </c>
      <c r="R126" s="2">
        <v>0.45</v>
      </c>
      <c r="S126" s="2">
        <v>98.41</v>
      </c>
      <c r="T126" s="2">
        <v>1.1399999999999999</v>
      </c>
      <c r="U126" s="2">
        <v>1332980</v>
      </c>
      <c r="V126" s="2">
        <v>60.91</v>
      </c>
      <c r="W126" s="2">
        <v>57.1</v>
      </c>
      <c r="X126" s="2">
        <v>319</v>
      </c>
    </row>
    <row r="127" spans="1:24" x14ac:dyDescent="0.25">
      <c r="A127" s="2" t="s">
        <v>97</v>
      </c>
      <c r="B127" s="2">
        <v>4.7</v>
      </c>
      <c r="C127" s="2">
        <v>6.1</v>
      </c>
      <c r="D127" s="2">
        <v>10</v>
      </c>
      <c r="E127" s="2">
        <v>20</v>
      </c>
      <c r="F127" s="2">
        <v>30</v>
      </c>
      <c r="G127" s="2">
        <v>0</v>
      </c>
      <c r="H127" s="3">
        <v>0</v>
      </c>
      <c r="I127" s="2">
        <v>0.09</v>
      </c>
      <c r="J127" s="2">
        <v>10</v>
      </c>
      <c r="K127" s="2" t="s">
        <v>89</v>
      </c>
      <c r="L127" s="4">
        <v>45889</v>
      </c>
      <c r="M127" s="2">
        <v>0</v>
      </c>
      <c r="N127" s="2" t="s">
        <v>214</v>
      </c>
      <c r="O127" s="12">
        <v>1.0149999999999999</v>
      </c>
      <c r="P127" s="8">
        <v>6.14</v>
      </c>
      <c r="Q127" s="2">
        <v>76606</v>
      </c>
      <c r="R127" s="2">
        <v>1.59</v>
      </c>
      <c r="S127" s="2">
        <v>97.56</v>
      </c>
      <c r="T127" s="2">
        <v>0.86</v>
      </c>
      <c r="U127" s="2">
        <v>1532941</v>
      </c>
      <c r="V127" s="2">
        <v>58.86</v>
      </c>
      <c r="W127" s="2">
        <v>54.74</v>
      </c>
      <c r="X127" s="2">
        <v>407</v>
      </c>
    </row>
    <row r="128" spans="1:24" x14ac:dyDescent="0.25">
      <c r="A128" s="2" t="s">
        <v>98</v>
      </c>
      <c r="B128" s="2">
        <v>4.7</v>
      </c>
      <c r="C128" s="2">
        <v>6.1</v>
      </c>
      <c r="D128" s="2">
        <v>20</v>
      </c>
      <c r="E128" s="2">
        <v>20</v>
      </c>
      <c r="F128" s="2">
        <v>0</v>
      </c>
      <c r="G128" s="2">
        <v>30</v>
      </c>
      <c r="H128" s="3">
        <v>0</v>
      </c>
      <c r="I128" s="2">
        <v>0.09</v>
      </c>
      <c r="J128" s="2">
        <v>11</v>
      </c>
      <c r="K128" s="2" t="s">
        <v>89</v>
      </c>
      <c r="L128" s="4">
        <v>45889</v>
      </c>
      <c r="M128" s="2">
        <v>0</v>
      </c>
      <c r="N128" s="2" t="s">
        <v>214</v>
      </c>
      <c r="O128" s="12">
        <v>1.026</v>
      </c>
      <c r="P128" s="8">
        <v>6.16</v>
      </c>
      <c r="Q128" s="2">
        <v>76615</v>
      </c>
      <c r="R128" s="2">
        <v>1.67</v>
      </c>
      <c r="S128" s="2">
        <v>97.47</v>
      </c>
      <c r="T128" s="2">
        <v>0.87</v>
      </c>
      <c r="U128" s="2">
        <v>1548395</v>
      </c>
      <c r="V128" s="2">
        <v>58</v>
      </c>
      <c r="W128" s="2">
        <v>53.79</v>
      </c>
      <c r="X128" s="2">
        <v>489</v>
      </c>
    </row>
    <row r="129" spans="1:24" x14ac:dyDescent="0.25">
      <c r="A129" s="2" t="s">
        <v>95</v>
      </c>
      <c r="B129" s="2">
        <v>4.7</v>
      </c>
      <c r="C129" s="2">
        <v>6.1</v>
      </c>
      <c r="D129" s="2">
        <v>0</v>
      </c>
      <c r="E129" s="2">
        <v>20</v>
      </c>
      <c r="F129" s="2">
        <v>40</v>
      </c>
      <c r="G129" s="2">
        <v>0</v>
      </c>
      <c r="H129" s="3">
        <v>0</v>
      </c>
      <c r="I129" s="2">
        <v>0.09</v>
      </c>
      <c r="J129" s="2">
        <v>8</v>
      </c>
      <c r="K129" s="6" t="s">
        <v>90</v>
      </c>
      <c r="L129" s="4">
        <v>45889</v>
      </c>
      <c r="M129" s="2">
        <v>0</v>
      </c>
      <c r="N129" s="2" t="s">
        <v>214</v>
      </c>
      <c r="O129" s="12">
        <v>0.91200000000000003</v>
      </c>
      <c r="P129" s="8">
        <v>6.15</v>
      </c>
      <c r="Q129" s="2">
        <v>76596</v>
      </c>
      <c r="R129" s="2">
        <v>0.41</v>
      </c>
      <c r="S129" s="2">
        <v>98.63</v>
      </c>
      <c r="T129" s="2">
        <v>0.95</v>
      </c>
      <c r="U129" s="2">
        <v>1368489</v>
      </c>
      <c r="V129" s="2">
        <v>60.59</v>
      </c>
      <c r="W129" s="2">
        <v>60.6</v>
      </c>
      <c r="X129" s="2">
        <v>301</v>
      </c>
    </row>
    <row r="130" spans="1:24" x14ac:dyDescent="0.25">
      <c r="A130" s="2" t="s">
        <v>96</v>
      </c>
      <c r="B130" s="2">
        <v>4.7</v>
      </c>
      <c r="C130" s="2">
        <v>6.1</v>
      </c>
      <c r="D130" s="2">
        <v>0</v>
      </c>
      <c r="E130" s="2">
        <v>20</v>
      </c>
      <c r="F130" s="2">
        <v>0</v>
      </c>
      <c r="G130" s="2">
        <v>80</v>
      </c>
      <c r="H130" s="3">
        <v>0</v>
      </c>
      <c r="I130" s="2">
        <v>0.09</v>
      </c>
      <c r="J130" s="2">
        <v>9</v>
      </c>
      <c r="K130" s="6" t="s">
        <v>90</v>
      </c>
      <c r="L130" s="4">
        <v>45889</v>
      </c>
      <c r="M130" s="2">
        <v>0</v>
      </c>
      <c r="N130" s="2" t="s">
        <v>214</v>
      </c>
      <c r="O130" s="12">
        <v>0.88200000000000001</v>
      </c>
      <c r="P130" s="8">
        <v>6.09</v>
      </c>
      <c r="Q130" s="2">
        <v>76601</v>
      </c>
      <c r="R130" s="2">
        <v>0.45</v>
      </c>
      <c r="S130" s="2">
        <v>98.41</v>
      </c>
      <c r="T130" s="2">
        <v>1.1399999999999999</v>
      </c>
      <c r="U130" s="2">
        <v>1332980</v>
      </c>
      <c r="V130" s="2">
        <v>60.91</v>
      </c>
      <c r="W130" s="2">
        <v>57.1</v>
      </c>
      <c r="X130" s="2">
        <v>319</v>
      </c>
    </row>
    <row r="131" spans="1:24" x14ac:dyDescent="0.25">
      <c r="A131" s="2" t="s">
        <v>97</v>
      </c>
      <c r="B131" s="2">
        <v>4.7</v>
      </c>
      <c r="C131" s="2">
        <v>6.1</v>
      </c>
      <c r="D131" s="2">
        <v>10</v>
      </c>
      <c r="E131" s="2">
        <v>20</v>
      </c>
      <c r="F131" s="2">
        <v>30</v>
      </c>
      <c r="G131" s="2">
        <v>0</v>
      </c>
      <c r="H131" s="3">
        <v>0</v>
      </c>
      <c r="I131" s="2">
        <v>0.09</v>
      </c>
      <c r="J131" s="2">
        <v>10</v>
      </c>
      <c r="K131" s="6" t="s">
        <v>90</v>
      </c>
      <c r="L131" s="4">
        <v>45889</v>
      </c>
      <c r="M131" s="2">
        <v>0</v>
      </c>
      <c r="N131" s="2" t="s">
        <v>214</v>
      </c>
      <c r="O131" s="12">
        <v>1.0149999999999999</v>
      </c>
      <c r="P131" s="8">
        <v>6.14</v>
      </c>
      <c r="Q131" s="2">
        <v>76606</v>
      </c>
      <c r="R131" s="2">
        <v>1.59</v>
      </c>
      <c r="S131" s="2">
        <v>97.56</v>
      </c>
      <c r="T131" s="2">
        <v>0.86</v>
      </c>
      <c r="U131" s="2">
        <v>1532941</v>
      </c>
      <c r="V131" s="2">
        <v>58.86</v>
      </c>
      <c r="W131" s="2">
        <v>54.74</v>
      </c>
      <c r="X131" s="2">
        <v>407</v>
      </c>
    </row>
    <row r="132" spans="1:24" x14ac:dyDescent="0.25">
      <c r="A132" s="2" t="s">
        <v>98</v>
      </c>
      <c r="B132" s="2">
        <v>4.7</v>
      </c>
      <c r="C132" s="2">
        <v>6.1</v>
      </c>
      <c r="D132" s="2">
        <v>20</v>
      </c>
      <c r="E132" s="2">
        <v>20</v>
      </c>
      <c r="F132" s="2">
        <v>0</v>
      </c>
      <c r="G132" s="2">
        <v>30</v>
      </c>
      <c r="H132" s="3">
        <v>0</v>
      </c>
      <c r="I132" s="2">
        <v>0.09</v>
      </c>
      <c r="J132" s="2">
        <v>11</v>
      </c>
      <c r="K132" s="6" t="s">
        <v>90</v>
      </c>
      <c r="L132" s="4">
        <v>45889</v>
      </c>
      <c r="M132" s="2">
        <v>0</v>
      </c>
      <c r="N132" s="2" t="s">
        <v>214</v>
      </c>
      <c r="O132" s="12">
        <v>1.026</v>
      </c>
      <c r="P132" s="8">
        <v>6.16</v>
      </c>
      <c r="Q132" s="2">
        <v>76615</v>
      </c>
      <c r="R132" s="2">
        <v>1.67</v>
      </c>
      <c r="S132" s="2">
        <v>97.47</v>
      </c>
      <c r="T132" s="2">
        <v>0.87</v>
      </c>
      <c r="U132" s="2">
        <v>1548395</v>
      </c>
      <c r="V132" s="2">
        <v>58</v>
      </c>
      <c r="W132" s="2">
        <v>53.79</v>
      </c>
      <c r="X132" s="2">
        <v>489</v>
      </c>
    </row>
    <row r="133" spans="1:24" x14ac:dyDescent="0.25">
      <c r="A133" s="2" t="s">
        <v>95</v>
      </c>
      <c r="B133" s="2">
        <v>4.7</v>
      </c>
      <c r="C133" s="2">
        <v>6.1</v>
      </c>
      <c r="D133" s="2">
        <v>0</v>
      </c>
      <c r="E133" s="2">
        <v>20</v>
      </c>
      <c r="F133" s="2">
        <v>40</v>
      </c>
      <c r="G133" s="2">
        <v>0</v>
      </c>
      <c r="H133" s="3">
        <v>0</v>
      </c>
      <c r="I133" s="2">
        <v>0.09</v>
      </c>
      <c r="J133" s="2">
        <v>8</v>
      </c>
      <c r="K133" s="2" t="s">
        <v>91</v>
      </c>
      <c r="L133" s="4">
        <v>45889</v>
      </c>
      <c r="M133" s="2" t="s">
        <v>158</v>
      </c>
      <c r="N133" s="2" t="s">
        <v>214</v>
      </c>
      <c r="O133" s="12">
        <v>0.91200000000000003</v>
      </c>
      <c r="P133" s="8">
        <v>6.15</v>
      </c>
      <c r="Q133" s="2">
        <v>76596</v>
      </c>
      <c r="R133" s="2">
        <v>0.41</v>
      </c>
      <c r="S133" s="2">
        <v>98.63</v>
      </c>
      <c r="T133" s="2">
        <v>0.95</v>
      </c>
      <c r="U133" s="2">
        <v>1368489</v>
      </c>
      <c r="V133" s="2">
        <v>60.59</v>
      </c>
      <c r="W133" s="2">
        <v>60.6</v>
      </c>
      <c r="X133" s="2">
        <v>301</v>
      </c>
    </row>
    <row r="134" spans="1:24" x14ac:dyDescent="0.25">
      <c r="A134" s="2" t="s">
        <v>96</v>
      </c>
      <c r="B134" s="2">
        <v>4.7</v>
      </c>
      <c r="C134" s="2">
        <v>6.1</v>
      </c>
      <c r="D134" s="2">
        <v>0</v>
      </c>
      <c r="E134" s="2">
        <v>20</v>
      </c>
      <c r="F134" s="2">
        <v>0</v>
      </c>
      <c r="G134" s="2">
        <v>80</v>
      </c>
      <c r="H134" s="3">
        <v>0</v>
      </c>
      <c r="I134" s="2">
        <v>0.09</v>
      </c>
      <c r="J134" s="2">
        <v>9</v>
      </c>
      <c r="K134" s="2" t="s">
        <v>91</v>
      </c>
      <c r="L134" s="4">
        <v>45889</v>
      </c>
      <c r="M134" s="2" t="s">
        <v>158</v>
      </c>
      <c r="N134" s="2" t="s">
        <v>214</v>
      </c>
      <c r="O134" s="12">
        <v>0.88200000000000001</v>
      </c>
      <c r="P134" s="8">
        <v>6.09</v>
      </c>
      <c r="Q134" s="2">
        <v>76601</v>
      </c>
      <c r="R134" s="2">
        <v>0.45</v>
      </c>
      <c r="S134" s="2">
        <v>98.41</v>
      </c>
      <c r="T134" s="2">
        <v>1.1399999999999999</v>
      </c>
      <c r="U134" s="2">
        <v>1332980</v>
      </c>
      <c r="V134" s="2">
        <v>60.91</v>
      </c>
      <c r="W134" s="2">
        <v>57.1</v>
      </c>
      <c r="X134" s="2">
        <v>319</v>
      </c>
    </row>
    <row r="135" spans="1:24" x14ac:dyDescent="0.25">
      <c r="A135" s="2" t="s">
        <v>97</v>
      </c>
      <c r="B135" s="2">
        <v>4.7</v>
      </c>
      <c r="C135" s="2">
        <v>6.1</v>
      </c>
      <c r="D135" s="2">
        <v>10</v>
      </c>
      <c r="E135" s="2">
        <v>20</v>
      </c>
      <c r="F135" s="2">
        <v>30</v>
      </c>
      <c r="G135" s="2">
        <v>0</v>
      </c>
      <c r="H135" s="3">
        <v>0</v>
      </c>
      <c r="I135" s="2">
        <v>0.09</v>
      </c>
      <c r="J135" s="2">
        <v>10</v>
      </c>
      <c r="K135" s="2" t="s">
        <v>91</v>
      </c>
      <c r="L135" s="4">
        <v>45889</v>
      </c>
      <c r="M135" s="2" t="s">
        <v>158</v>
      </c>
      <c r="N135" s="2" t="s">
        <v>214</v>
      </c>
      <c r="O135" s="12">
        <v>1.0149999999999999</v>
      </c>
      <c r="P135" s="8">
        <v>6.14</v>
      </c>
      <c r="Q135" s="2">
        <v>76606</v>
      </c>
      <c r="R135" s="2">
        <v>1.59</v>
      </c>
      <c r="S135" s="2">
        <v>97.56</v>
      </c>
      <c r="T135" s="2">
        <v>0.86</v>
      </c>
      <c r="U135" s="2">
        <v>1532941</v>
      </c>
      <c r="V135" s="2">
        <v>58.86</v>
      </c>
      <c r="W135" s="2">
        <v>54.74</v>
      </c>
      <c r="X135" s="2">
        <v>407</v>
      </c>
    </row>
    <row r="136" spans="1:24" x14ac:dyDescent="0.25">
      <c r="A136" s="2" t="s">
        <v>98</v>
      </c>
      <c r="B136" s="2">
        <v>4.7</v>
      </c>
      <c r="C136" s="2">
        <v>6.1</v>
      </c>
      <c r="D136" s="2">
        <v>20</v>
      </c>
      <c r="E136" s="2">
        <v>20</v>
      </c>
      <c r="F136" s="2">
        <v>0</v>
      </c>
      <c r="G136" s="2">
        <v>30</v>
      </c>
      <c r="H136" s="3">
        <v>0</v>
      </c>
      <c r="I136" s="2">
        <v>0.09</v>
      </c>
      <c r="J136" s="2">
        <v>11</v>
      </c>
      <c r="K136" s="2" t="s">
        <v>91</v>
      </c>
      <c r="L136" s="4">
        <v>45889</v>
      </c>
      <c r="M136" s="2" t="s">
        <v>158</v>
      </c>
      <c r="N136" s="2" t="s">
        <v>214</v>
      </c>
      <c r="O136" s="12">
        <v>1.026</v>
      </c>
      <c r="P136" s="8">
        <v>6.16</v>
      </c>
      <c r="Q136" s="2">
        <v>76615</v>
      </c>
      <c r="R136" s="2">
        <v>1.67</v>
      </c>
      <c r="S136" s="2">
        <v>97.47</v>
      </c>
      <c r="T136" s="2">
        <v>0.87</v>
      </c>
      <c r="U136" s="2">
        <v>1548395</v>
      </c>
      <c r="V136" s="2">
        <v>58</v>
      </c>
      <c r="W136" s="2">
        <v>53.79</v>
      </c>
      <c r="X136" s="2">
        <v>489</v>
      </c>
    </row>
    <row r="137" spans="1:24" x14ac:dyDescent="0.25">
      <c r="A137" s="2" t="s">
        <v>173</v>
      </c>
      <c r="B137" s="2">
        <v>4.7</v>
      </c>
      <c r="C137" s="2">
        <v>6.1</v>
      </c>
      <c r="D137" s="2">
        <v>0</v>
      </c>
      <c r="E137" s="2">
        <v>20</v>
      </c>
      <c r="F137" s="2">
        <v>40</v>
      </c>
      <c r="G137" s="2">
        <v>0</v>
      </c>
      <c r="H137" s="3">
        <v>0</v>
      </c>
      <c r="I137" s="2">
        <v>0.09</v>
      </c>
      <c r="J137" s="2">
        <v>8</v>
      </c>
      <c r="K137" s="2" t="s">
        <v>89</v>
      </c>
      <c r="L137" s="4">
        <v>45891</v>
      </c>
      <c r="M137" s="2">
        <f>ROUND((L137-$L$121)/30.5,2)</f>
        <v>7.0000000000000007E-2</v>
      </c>
      <c r="O137" s="12"/>
      <c r="P137" s="8"/>
      <c r="Q137" s="2">
        <v>77060</v>
      </c>
      <c r="R137" s="2">
        <v>0.66</v>
      </c>
      <c r="S137" s="2">
        <v>98.16</v>
      </c>
      <c r="T137" s="2">
        <v>1.18</v>
      </c>
      <c r="U137" s="2">
        <v>1284864</v>
      </c>
    </row>
    <row r="138" spans="1:24" x14ac:dyDescent="0.25">
      <c r="A138" s="2" t="s">
        <v>174</v>
      </c>
      <c r="B138" s="2">
        <v>4.7</v>
      </c>
      <c r="C138" s="2">
        <v>6.1</v>
      </c>
      <c r="D138" s="2">
        <v>0</v>
      </c>
      <c r="E138" s="2">
        <v>20</v>
      </c>
      <c r="F138" s="2">
        <v>0</v>
      </c>
      <c r="G138" s="2">
        <v>80</v>
      </c>
      <c r="H138" s="3">
        <v>0</v>
      </c>
      <c r="I138" s="2">
        <v>0.09</v>
      </c>
      <c r="J138" s="2">
        <v>9</v>
      </c>
      <c r="K138" s="2" t="s">
        <v>89</v>
      </c>
      <c r="L138" s="4">
        <v>45891</v>
      </c>
      <c r="M138" s="2">
        <f t="shared" ref="M138:M160" si="1">ROUND((L138-$L$121)/30.5,2)</f>
        <v>7.0000000000000007E-2</v>
      </c>
      <c r="O138" s="12"/>
      <c r="P138" s="8"/>
      <c r="Q138" s="2">
        <v>77075</v>
      </c>
      <c r="R138" s="2">
        <v>0.51</v>
      </c>
      <c r="S138" s="2">
        <v>98.45</v>
      </c>
      <c r="T138" s="2">
        <v>1.05</v>
      </c>
      <c r="U138" s="2">
        <v>1357550</v>
      </c>
    </row>
    <row r="139" spans="1:24" x14ac:dyDescent="0.25">
      <c r="A139" s="2" t="s">
        <v>175</v>
      </c>
      <c r="B139" s="2">
        <v>4.7</v>
      </c>
      <c r="C139" s="2">
        <v>6.1</v>
      </c>
      <c r="D139" s="2">
        <v>10</v>
      </c>
      <c r="E139" s="2">
        <v>20</v>
      </c>
      <c r="F139" s="2">
        <v>30</v>
      </c>
      <c r="G139" s="2">
        <v>0</v>
      </c>
      <c r="H139" s="3">
        <v>0</v>
      </c>
      <c r="I139" s="2">
        <v>0.09</v>
      </c>
      <c r="J139" s="2">
        <v>10</v>
      </c>
      <c r="K139" s="2" t="s">
        <v>89</v>
      </c>
      <c r="L139" s="4">
        <v>45891</v>
      </c>
      <c r="M139" s="2">
        <f t="shared" si="1"/>
        <v>7.0000000000000007E-2</v>
      </c>
      <c r="O139" s="12"/>
      <c r="P139" s="8"/>
      <c r="Q139" s="2">
        <v>77080</v>
      </c>
      <c r="R139" s="2">
        <v>1.69</v>
      </c>
      <c r="S139" s="2">
        <v>97.38</v>
      </c>
      <c r="T139" s="2">
        <v>0.92</v>
      </c>
      <c r="U139" s="2">
        <v>1567163</v>
      </c>
    </row>
    <row r="140" spans="1:24" x14ac:dyDescent="0.25">
      <c r="A140" s="2" t="s">
        <v>176</v>
      </c>
      <c r="B140" s="2">
        <v>4.7</v>
      </c>
      <c r="C140" s="2">
        <v>6.1</v>
      </c>
      <c r="D140" s="2">
        <v>20</v>
      </c>
      <c r="E140" s="2">
        <v>20</v>
      </c>
      <c r="F140" s="2">
        <v>0</v>
      </c>
      <c r="G140" s="2">
        <v>30</v>
      </c>
      <c r="H140" s="3">
        <v>0</v>
      </c>
      <c r="I140" s="2">
        <v>0.09</v>
      </c>
      <c r="J140" s="2">
        <v>11</v>
      </c>
      <c r="K140" s="2" t="s">
        <v>89</v>
      </c>
      <c r="L140" s="4">
        <v>45891</v>
      </c>
      <c r="M140" s="2">
        <f t="shared" si="1"/>
        <v>7.0000000000000007E-2</v>
      </c>
      <c r="O140" s="12"/>
      <c r="P140" s="8"/>
      <c r="Q140" s="2">
        <v>77085</v>
      </c>
      <c r="R140" s="2">
        <v>1.8</v>
      </c>
      <c r="S140" s="2">
        <v>97.17</v>
      </c>
      <c r="T140" s="2">
        <v>1.03</v>
      </c>
      <c r="U140" s="2">
        <v>1566033</v>
      </c>
    </row>
    <row r="141" spans="1:24" x14ac:dyDescent="0.25">
      <c r="A141" s="2" t="s">
        <v>177</v>
      </c>
      <c r="B141" s="2">
        <v>4.7</v>
      </c>
      <c r="C141" s="2">
        <v>6.1</v>
      </c>
      <c r="D141" s="2">
        <v>0</v>
      </c>
      <c r="E141" s="2">
        <v>20</v>
      </c>
      <c r="F141" s="2">
        <v>40</v>
      </c>
      <c r="G141" s="2">
        <v>0</v>
      </c>
      <c r="H141" s="3">
        <v>0</v>
      </c>
      <c r="I141" s="2">
        <v>0.09</v>
      </c>
      <c r="J141" s="2">
        <v>8</v>
      </c>
      <c r="K141" s="6" t="s">
        <v>90</v>
      </c>
      <c r="L141" s="4">
        <v>45891</v>
      </c>
      <c r="M141" s="2">
        <f t="shared" si="1"/>
        <v>7.0000000000000007E-2</v>
      </c>
      <c r="O141" s="12"/>
      <c r="P141" s="8"/>
      <c r="Q141" s="2">
        <v>77090</v>
      </c>
      <c r="R141" s="2">
        <v>0.79</v>
      </c>
      <c r="S141" s="2">
        <v>97.9</v>
      </c>
      <c r="T141" s="2">
        <v>1.31</v>
      </c>
      <c r="U141" s="2">
        <v>1405337</v>
      </c>
    </row>
    <row r="142" spans="1:24" x14ac:dyDescent="0.25">
      <c r="A142" s="2" t="s">
        <v>178</v>
      </c>
      <c r="B142" s="2">
        <v>4.7</v>
      </c>
      <c r="C142" s="2">
        <v>6.1</v>
      </c>
      <c r="D142" s="2">
        <v>0</v>
      </c>
      <c r="E142" s="2">
        <v>20</v>
      </c>
      <c r="F142" s="2">
        <v>0</v>
      </c>
      <c r="G142" s="2">
        <v>80</v>
      </c>
      <c r="H142" s="3">
        <v>0</v>
      </c>
      <c r="I142" s="2">
        <v>0.09</v>
      </c>
      <c r="J142" s="2">
        <v>9</v>
      </c>
      <c r="K142" s="6" t="s">
        <v>90</v>
      </c>
      <c r="L142" s="4">
        <v>45891</v>
      </c>
      <c r="M142" s="2">
        <f t="shared" si="1"/>
        <v>7.0000000000000007E-2</v>
      </c>
      <c r="O142" s="12"/>
      <c r="P142" s="8"/>
      <c r="Q142" s="2">
        <v>77095</v>
      </c>
      <c r="R142" s="2">
        <v>0.8</v>
      </c>
      <c r="S142" s="2">
        <v>97.86</v>
      </c>
      <c r="T142" s="2">
        <v>1.34</v>
      </c>
      <c r="U142" s="2">
        <v>1339314</v>
      </c>
    </row>
    <row r="143" spans="1:24" x14ac:dyDescent="0.25">
      <c r="A143" s="2" t="s">
        <v>179</v>
      </c>
      <c r="B143" s="2">
        <v>4.7</v>
      </c>
      <c r="C143" s="2">
        <v>6.1</v>
      </c>
      <c r="D143" s="2">
        <v>10</v>
      </c>
      <c r="E143" s="2">
        <v>20</v>
      </c>
      <c r="F143" s="2">
        <v>30</v>
      </c>
      <c r="G143" s="2">
        <v>0</v>
      </c>
      <c r="H143" s="3">
        <v>0</v>
      </c>
      <c r="I143" s="2">
        <v>0.09</v>
      </c>
      <c r="J143" s="2">
        <v>10</v>
      </c>
      <c r="K143" s="6" t="s">
        <v>90</v>
      </c>
      <c r="L143" s="4">
        <v>45891</v>
      </c>
      <c r="M143" s="2">
        <f t="shared" si="1"/>
        <v>7.0000000000000007E-2</v>
      </c>
      <c r="O143" s="12"/>
      <c r="P143" s="8"/>
      <c r="Q143" s="2">
        <v>77100</v>
      </c>
      <c r="R143" s="2">
        <v>3.02</v>
      </c>
      <c r="S143" s="2">
        <v>95.92</v>
      </c>
      <c r="T143" s="2">
        <v>1.06</v>
      </c>
      <c r="U143" s="2">
        <v>1535428</v>
      </c>
    </row>
    <row r="144" spans="1:24" x14ac:dyDescent="0.25">
      <c r="A144" s="2" t="s">
        <v>180</v>
      </c>
      <c r="B144" s="2">
        <v>4.7</v>
      </c>
      <c r="C144" s="2">
        <v>6.1</v>
      </c>
      <c r="D144" s="2">
        <v>20</v>
      </c>
      <c r="E144" s="2">
        <v>20</v>
      </c>
      <c r="F144" s="2">
        <v>0</v>
      </c>
      <c r="G144" s="2">
        <v>30</v>
      </c>
      <c r="H144" s="3">
        <v>0</v>
      </c>
      <c r="I144" s="2">
        <v>0.09</v>
      </c>
      <c r="J144" s="2">
        <v>11</v>
      </c>
      <c r="K144" s="6" t="s">
        <v>90</v>
      </c>
      <c r="L144" s="4">
        <v>45891</v>
      </c>
      <c r="M144" s="2">
        <f t="shared" si="1"/>
        <v>7.0000000000000007E-2</v>
      </c>
      <c r="O144" s="12"/>
      <c r="P144" s="8"/>
      <c r="Q144" s="2">
        <v>77105</v>
      </c>
      <c r="R144" s="2">
        <v>3.1</v>
      </c>
      <c r="S144" s="2">
        <v>95.88</v>
      </c>
      <c r="T144" s="2">
        <v>1.02</v>
      </c>
      <c r="U144" s="2">
        <v>1554131</v>
      </c>
    </row>
    <row r="145" spans="1:24" x14ac:dyDescent="0.25">
      <c r="A145" s="2" t="s">
        <v>99</v>
      </c>
      <c r="B145" s="2">
        <v>4.7</v>
      </c>
      <c r="C145" s="2">
        <v>6.1</v>
      </c>
      <c r="D145" s="2">
        <v>0</v>
      </c>
      <c r="E145" s="2">
        <v>20</v>
      </c>
      <c r="F145" s="2">
        <v>40</v>
      </c>
      <c r="G145" s="2">
        <v>0</v>
      </c>
      <c r="H145" s="3">
        <v>0</v>
      </c>
      <c r="I145" s="2">
        <v>0.09</v>
      </c>
      <c r="J145" s="2">
        <v>8</v>
      </c>
      <c r="K145" s="2" t="s">
        <v>89</v>
      </c>
      <c r="L145" s="4">
        <v>45894</v>
      </c>
      <c r="M145" s="2">
        <f t="shared" si="1"/>
        <v>0.16</v>
      </c>
      <c r="N145" s="2" t="s">
        <v>214</v>
      </c>
      <c r="O145" s="12">
        <v>0.93500000000000005</v>
      </c>
      <c r="P145" s="8">
        <v>6.03</v>
      </c>
      <c r="Q145" s="2">
        <v>77494</v>
      </c>
      <c r="R145" s="2">
        <v>0.93</v>
      </c>
      <c r="S145" s="2">
        <v>97.91</v>
      </c>
      <c r="T145" s="2">
        <v>1.1599999999999999</v>
      </c>
      <c r="U145" s="2">
        <v>1242018</v>
      </c>
    </row>
    <row r="146" spans="1:24" x14ac:dyDescent="0.25">
      <c r="A146" s="2" t="s">
        <v>100</v>
      </c>
      <c r="B146" s="2">
        <v>4.7</v>
      </c>
      <c r="C146" s="2">
        <v>6.1</v>
      </c>
      <c r="D146" s="2">
        <v>0</v>
      </c>
      <c r="E146" s="2">
        <v>20</v>
      </c>
      <c r="F146" s="2">
        <v>0</v>
      </c>
      <c r="G146" s="2">
        <v>80</v>
      </c>
      <c r="H146" s="3">
        <v>0</v>
      </c>
      <c r="I146" s="2">
        <v>0.09</v>
      </c>
      <c r="J146" s="2">
        <v>9</v>
      </c>
      <c r="K146" s="2" t="s">
        <v>89</v>
      </c>
      <c r="L146" s="4">
        <v>45894</v>
      </c>
      <c r="M146" s="2">
        <f t="shared" si="1"/>
        <v>0.16</v>
      </c>
      <c r="N146" s="2" t="s">
        <v>214</v>
      </c>
      <c r="O146" s="12">
        <v>0.92400000000000004</v>
      </c>
      <c r="P146" s="8">
        <v>6.05</v>
      </c>
      <c r="Q146" s="2">
        <v>77509</v>
      </c>
      <c r="R146" s="2">
        <v>0.56999999999999995</v>
      </c>
      <c r="S146" s="2">
        <v>98.42</v>
      </c>
      <c r="T146" s="2">
        <v>1.02</v>
      </c>
      <c r="U146" s="2">
        <v>1326371</v>
      </c>
    </row>
    <row r="147" spans="1:24" x14ac:dyDescent="0.25">
      <c r="A147" s="2" t="s">
        <v>101</v>
      </c>
      <c r="B147" s="2">
        <v>4.7</v>
      </c>
      <c r="C147" s="2">
        <v>6.1</v>
      </c>
      <c r="D147" s="2">
        <v>10</v>
      </c>
      <c r="E147" s="2">
        <v>20</v>
      </c>
      <c r="F147" s="2">
        <v>30</v>
      </c>
      <c r="G147" s="2">
        <v>0</v>
      </c>
      <c r="H147" s="3">
        <v>0</v>
      </c>
      <c r="I147" s="2">
        <v>0.09</v>
      </c>
      <c r="J147" s="2">
        <v>10</v>
      </c>
      <c r="K147" s="2" t="s">
        <v>89</v>
      </c>
      <c r="L147" s="4">
        <v>45894</v>
      </c>
      <c r="M147" s="2">
        <f t="shared" si="1"/>
        <v>0.16</v>
      </c>
      <c r="N147" s="2" t="s">
        <v>214</v>
      </c>
      <c r="O147" s="12">
        <v>1.0609999999999999</v>
      </c>
      <c r="P147" s="8">
        <v>6.12</v>
      </c>
      <c r="Q147" s="2">
        <v>77514</v>
      </c>
      <c r="R147" s="2">
        <v>1.77</v>
      </c>
      <c r="S147" s="2">
        <v>97.3</v>
      </c>
      <c r="T147" s="2">
        <v>0.93</v>
      </c>
      <c r="U147" s="2">
        <v>1535026</v>
      </c>
    </row>
    <row r="148" spans="1:24" x14ac:dyDescent="0.25">
      <c r="A148" s="2" t="s">
        <v>102</v>
      </c>
      <c r="B148" s="2">
        <v>4.7</v>
      </c>
      <c r="C148" s="2">
        <v>6.1</v>
      </c>
      <c r="D148" s="2">
        <v>20</v>
      </c>
      <c r="E148" s="2">
        <v>20</v>
      </c>
      <c r="F148" s="2">
        <v>0</v>
      </c>
      <c r="G148" s="2">
        <v>30</v>
      </c>
      <c r="H148" s="3">
        <v>0</v>
      </c>
      <c r="I148" s="2">
        <v>0.09</v>
      </c>
      <c r="J148" s="2">
        <v>11</v>
      </c>
      <c r="K148" s="2" t="s">
        <v>89</v>
      </c>
      <c r="L148" s="4">
        <v>45894</v>
      </c>
      <c r="M148" s="2">
        <f t="shared" si="1"/>
        <v>0.16</v>
      </c>
      <c r="N148" s="2" t="s">
        <v>214</v>
      </c>
      <c r="O148" s="12">
        <v>1.0169999999999999</v>
      </c>
      <c r="P148" s="8">
        <v>6.15</v>
      </c>
      <c r="Q148" s="2">
        <v>77519</v>
      </c>
      <c r="R148" s="2">
        <v>1.91</v>
      </c>
      <c r="S148" s="2">
        <v>97.12</v>
      </c>
      <c r="T148" s="2">
        <v>0.97</v>
      </c>
      <c r="U148" s="2">
        <v>1551571</v>
      </c>
    </row>
    <row r="149" spans="1:24" x14ac:dyDescent="0.25">
      <c r="A149" s="2" t="s">
        <v>103</v>
      </c>
      <c r="B149" s="2">
        <v>4.7</v>
      </c>
      <c r="C149" s="2">
        <v>6.1</v>
      </c>
      <c r="D149" s="2">
        <v>0</v>
      </c>
      <c r="E149" s="2">
        <v>20</v>
      </c>
      <c r="F149" s="2">
        <v>40</v>
      </c>
      <c r="G149" s="2">
        <v>0</v>
      </c>
      <c r="H149" s="3">
        <v>0</v>
      </c>
      <c r="I149" s="2">
        <v>0.09</v>
      </c>
      <c r="J149" s="2">
        <v>8</v>
      </c>
      <c r="K149" s="6" t="s">
        <v>90</v>
      </c>
      <c r="L149" s="4">
        <v>45894</v>
      </c>
      <c r="M149" s="2">
        <f t="shared" si="1"/>
        <v>0.16</v>
      </c>
      <c r="N149" s="2" t="s">
        <v>214</v>
      </c>
      <c r="O149" s="12">
        <v>0.96099999999999997</v>
      </c>
      <c r="P149" s="8">
        <v>6.09</v>
      </c>
      <c r="Q149" s="2">
        <v>77524</v>
      </c>
      <c r="R149" s="2">
        <v>0.78</v>
      </c>
      <c r="S149" s="2">
        <v>97.6</v>
      </c>
      <c r="T149" s="2">
        <v>1.62</v>
      </c>
      <c r="U149" s="2">
        <v>1393837</v>
      </c>
    </row>
    <row r="150" spans="1:24" x14ac:dyDescent="0.25">
      <c r="A150" s="2" t="s">
        <v>104</v>
      </c>
      <c r="B150" s="2">
        <v>4.7</v>
      </c>
      <c r="C150" s="2">
        <v>6.1</v>
      </c>
      <c r="D150" s="2">
        <v>0</v>
      </c>
      <c r="E150" s="2">
        <v>20</v>
      </c>
      <c r="F150" s="2">
        <v>0</v>
      </c>
      <c r="G150" s="2">
        <v>80</v>
      </c>
      <c r="H150" s="3">
        <v>0</v>
      </c>
      <c r="I150" s="2">
        <v>0.09</v>
      </c>
      <c r="J150" s="2">
        <v>9</v>
      </c>
      <c r="K150" s="6" t="s">
        <v>90</v>
      </c>
      <c r="L150" s="4">
        <v>45894</v>
      </c>
      <c r="M150" s="2">
        <f t="shared" si="1"/>
        <v>0.16</v>
      </c>
      <c r="N150" s="2" t="s">
        <v>214</v>
      </c>
      <c r="O150" s="12">
        <v>0.91200000000000003</v>
      </c>
      <c r="P150" s="8">
        <v>6.07</v>
      </c>
      <c r="Q150" s="2">
        <v>77529</v>
      </c>
      <c r="R150" s="2">
        <v>0.77</v>
      </c>
      <c r="S150" s="2">
        <v>97.76</v>
      </c>
      <c r="T150" s="2">
        <v>1.46</v>
      </c>
      <c r="U150" s="2">
        <v>1331799</v>
      </c>
    </row>
    <row r="151" spans="1:24" x14ac:dyDescent="0.25">
      <c r="A151" s="2" t="s">
        <v>105</v>
      </c>
      <c r="B151" s="2">
        <v>4.7</v>
      </c>
      <c r="C151" s="2">
        <v>6.1</v>
      </c>
      <c r="D151" s="2">
        <v>10</v>
      </c>
      <c r="E151" s="2">
        <v>20</v>
      </c>
      <c r="F151" s="2">
        <v>30</v>
      </c>
      <c r="G151" s="2">
        <v>0</v>
      </c>
      <c r="H151" s="3">
        <v>0</v>
      </c>
      <c r="I151" s="2">
        <v>0.09</v>
      </c>
      <c r="J151" s="2">
        <v>10</v>
      </c>
      <c r="K151" s="6" t="s">
        <v>90</v>
      </c>
      <c r="L151" s="4">
        <v>45894</v>
      </c>
      <c r="M151" s="2">
        <f t="shared" si="1"/>
        <v>0.16</v>
      </c>
      <c r="N151" s="2" t="s">
        <v>214</v>
      </c>
      <c r="O151" s="12">
        <v>1.026</v>
      </c>
      <c r="P151" s="8">
        <v>6.1</v>
      </c>
      <c r="Q151" s="2">
        <v>77534</v>
      </c>
      <c r="R151" s="2">
        <v>3.18</v>
      </c>
      <c r="S151" s="2">
        <v>95.67</v>
      </c>
      <c r="T151" s="2">
        <v>1.1499999999999999</v>
      </c>
      <c r="U151" s="2">
        <v>1530560</v>
      </c>
    </row>
    <row r="152" spans="1:24" x14ac:dyDescent="0.25">
      <c r="A152" s="2" t="s">
        <v>106</v>
      </c>
      <c r="B152" s="2">
        <v>4.7</v>
      </c>
      <c r="C152" s="2">
        <v>6.1</v>
      </c>
      <c r="D152" s="2">
        <v>20</v>
      </c>
      <c r="E152" s="2">
        <v>20</v>
      </c>
      <c r="F152" s="2">
        <v>0</v>
      </c>
      <c r="G152" s="2">
        <v>30</v>
      </c>
      <c r="H152" s="3">
        <v>0</v>
      </c>
      <c r="I152" s="2">
        <v>0.09</v>
      </c>
      <c r="J152" s="2">
        <v>11</v>
      </c>
      <c r="K152" s="6" t="s">
        <v>90</v>
      </c>
      <c r="L152" s="4">
        <v>45894</v>
      </c>
      <c r="M152" s="2">
        <f t="shared" si="1"/>
        <v>0.16</v>
      </c>
      <c r="N152" s="2" t="s">
        <v>214</v>
      </c>
      <c r="O152" s="12">
        <v>1.0449999999999999</v>
      </c>
      <c r="P152" s="8">
        <v>6.12</v>
      </c>
      <c r="Q152" s="2">
        <v>77539</v>
      </c>
      <c r="R152" s="2">
        <v>3.25</v>
      </c>
      <c r="S152" s="2">
        <v>95.62</v>
      </c>
      <c r="T152" s="2">
        <v>1.1299999999999999</v>
      </c>
      <c r="U152" s="2">
        <v>1541919</v>
      </c>
    </row>
    <row r="153" spans="1:24" x14ac:dyDescent="0.25">
      <c r="A153" s="2" t="s">
        <v>206</v>
      </c>
      <c r="B153" s="2">
        <v>4.7</v>
      </c>
      <c r="C153" s="2">
        <v>6.1</v>
      </c>
      <c r="D153" s="2">
        <v>0</v>
      </c>
      <c r="E153" s="2">
        <v>20</v>
      </c>
      <c r="F153" s="2">
        <v>40</v>
      </c>
      <c r="G153" s="2">
        <v>0</v>
      </c>
      <c r="H153" s="3">
        <v>0</v>
      </c>
      <c r="I153" s="2">
        <v>0.09</v>
      </c>
      <c r="J153" s="2">
        <v>8</v>
      </c>
      <c r="K153" s="2" t="s">
        <v>89</v>
      </c>
      <c r="L153" s="4">
        <v>45897</v>
      </c>
      <c r="M153" s="2">
        <f t="shared" si="1"/>
        <v>0.26</v>
      </c>
      <c r="O153" s="12"/>
      <c r="P153" s="8"/>
      <c r="Q153" s="8"/>
    </row>
    <row r="154" spans="1:24" s="25" customFormat="1" x14ac:dyDescent="0.25">
      <c r="A154" s="20" t="s">
        <v>207</v>
      </c>
      <c r="B154" s="20">
        <v>4.7</v>
      </c>
      <c r="C154" s="20">
        <v>6.1</v>
      </c>
      <c r="D154" s="20">
        <v>0</v>
      </c>
      <c r="E154" s="20">
        <v>20</v>
      </c>
      <c r="F154" s="20">
        <v>0</v>
      </c>
      <c r="G154" s="20">
        <v>80</v>
      </c>
      <c r="H154" s="21">
        <v>0</v>
      </c>
      <c r="I154" s="20">
        <v>0.09</v>
      </c>
      <c r="J154" s="20">
        <v>9</v>
      </c>
      <c r="K154" s="20" t="s">
        <v>89</v>
      </c>
      <c r="L154" s="22">
        <v>45897</v>
      </c>
      <c r="M154" s="20">
        <f t="shared" si="1"/>
        <v>0.26</v>
      </c>
      <c r="N154" s="20"/>
      <c r="O154" s="24"/>
      <c r="P154" s="23"/>
      <c r="Q154" s="23"/>
      <c r="R154" s="20"/>
      <c r="S154" s="20"/>
      <c r="T154" s="20"/>
      <c r="U154" s="20"/>
      <c r="V154" s="20"/>
      <c r="W154" s="20"/>
      <c r="X154" s="20"/>
    </row>
    <row r="155" spans="1:24" x14ac:dyDescent="0.25">
      <c r="A155" s="2" t="s">
        <v>208</v>
      </c>
      <c r="B155" s="2">
        <v>4.7</v>
      </c>
      <c r="C155" s="2">
        <v>6.1</v>
      </c>
      <c r="D155" s="2">
        <v>10</v>
      </c>
      <c r="E155" s="2">
        <v>20</v>
      </c>
      <c r="F155" s="2">
        <v>30</v>
      </c>
      <c r="G155" s="2">
        <v>0</v>
      </c>
      <c r="H155" s="3">
        <v>0</v>
      </c>
      <c r="I155" s="2">
        <v>0.09</v>
      </c>
      <c r="J155" s="2">
        <v>10</v>
      </c>
      <c r="K155" s="2" t="s">
        <v>89</v>
      </c>
      <c r="L155" s="4">
        <v>45897</v>
      </c>
      <c r="M155" s="2">
        <f t="shared" si="1"/>
        <v>0.26</v>
      </c>
      <c r="O155" s="12"/>
      <c r="P155" s="8"/>
      <c r="Q155" s="8"/>
    </row>
    <row r="156" spans="1:24" x14ac:dyDescent="0.25">
      <c r="A156" s="2" t="s">
        <v>209</v>
      </c>
      <c r="B156" s="2">
        <v>4.7</v>
      </c>
      <c r="C156" s="2">
        <v>6.1</v>
      </c>
      <c r="D156" s="2">
        <v>20</v>
      </c>
      <c r="E156" s="2">
        <v>20</v>
      </c>
      <c r="F156" s="2">
        <v>0</v>
      </c>
      <c r="G156" s="2">
        <v>30</v>
      </c>
      <c r="H156" s="3">
        <v>0</v>
      </c>
      <c r="I156" s="2">
        <v>0.09</v>
      </c>
      <c r="J156" s="2">
        <v>11</v>
      </c>
      <c r="K156" s="2" t="s">
        <v>89</v>
      </c>
      <c r="L156" s="4">
        <v>45897</v>
      </c>
      <c r="M156" s="2">
        <f t="shared" si="1"/>
        <v>0.26</v>
      </c>
      <c r="O156" s="12"/>
      <c r="P156" s="8"/>
      <c r="Q156" s="8"/>
    </row>
    <row r="157" spans="1:24" x14ac:dyDescent="0.25">
      <c r="A157" s="2" t="s">
        <v>210</v>
      </c>
      <c r="B157" s="2">
        <v>4.7</v>
      </c>
      <c r="C157" s="2">
        <v>6.1</v>
      </c>
      <c r="D157" s="2">
        <v>0</v>
      </c>
      <c r="E157" s="2">
        <v>20</v>
      </c>
      <c r="F157" s="2">
        <v>40</v>
      </c>
      <c r="G157" s="2">
        <v>0</v>
      </c>
      <c r="H157" s="3">
        <v>0</v>
      </c>
      <c r="I157" s="2">
        <v>0.09</v>
      </c>
      <c r="J157" s="2">
        <v>8</v>
      </c>
      <c r="K157" s="6" t="s">
        <v>90</v>
      </c>
      <c r="L157" s="4">
        <v>45897</v>
      </c>
      <c r="M157" s="2">
        <f t="shared" si="1"/>
        <v>0.26</v>
      </c>
      <c r="O157" s="12"/>
      <c r="P157" s="8"/>
      <c r="Q157" s="8"/>
    </row>
    <row r="158" spans="1:24" s="25" customFormat="1" x14ac:dyDescent="0.25">
      <c r="A158" s="20" t="s">
        <v>211</v>
      </c>
      <c r="B158" s="20">
        <v>4.7</v>
      </c>
      <c r="C158" s="20">
        <v>6.1</v>
      </c>
      <c r="D158" s="20">
        <v>0</v>
      </c>
      <c r="E158" s="20">
        <v>20</v>
      </c>
      <c r="F158" s="20">
        <v>0</v>
      </c>
      <c r="G158" s="20">
        <v>80</v>
      </c>
      <c r="H158" s="21">
        <v>0</v>
      </c>
      <c r="I158" s="20">
        <v>0.09</v>
      </c>
      <c r="J158" s="20">
        <v>9</v>
      </c>
      <c r="K158" s="26" t="s">
        <v>90</v>
      </c>
      <c r="L158" s="22">
        <v>45897</v>
      </c>
      <c r="M158" s="20">
        <f t="shared" si="1"/>
        <v>0.26</v>
      </c>
      <c r="N158" s="20"/>
      <c r="O158" s="24"/>
      <c r="P158" s="23"/>
      <c r="Q158" s="23"/>
      <c r="R158" s="20"/>
      <c r="S158" s="20"/>
      <c r="T158" s="20"/>
      <c r="U158" s="20"/>
      <c r="V158" s="20"/>
      <c r="W158" s="20"/>
      <c r="X158" s="20"/>
    </row>
    <row r="159" spans="1:24" x14ac:dyDescent="0.25">
      <c r="A159" s="2" t="s">
        <v>212</v>
      </c>
      <c r="B159" s="2">
        <v>4.7</v>
      </c>
      <c r="C159" s="2">
        <v>6.1</v>
      </c>
      <c r="D159" s="2">
        <v>10</v>
      </c>
      <c r="E159" s="2">
        <v>20</v>
      </c>
      <c r="F159" s="2">
        <v>30</v>
      </c>
      <c r="G159" s="2">
        <v>0</v>
      </c>
      <c r="H159" s="3">
        <v>0</v>
      </c>
      <c r="I159" s="2">
        <v>0.09</v>
      </c>
      <c r="J159" s="2">
        <v>10</v>
      </c>
      <c r="K159" s="6" t="s">
        <v>90</v>
      </c>
      <c r="L159" s="4">
        <v>45897</v>
      </c>
      <c r="M159" s="2">
        <f t="shared" si="1"/>
        <v>0.26</v>
      </c>
      <c r="O159" s="12"/>
      <c r="P159" s="8"/>
      <c r="Q159" s="8"/>
    </row>
    <row r="160" spans="1:24" x14ac:dyDescent="0.25">
      <c r="A160" s="2" t="s">
        <v>213</v>
      </c>
      <c r="B160" s="2">
        <v>4.7</v>
      </c>
      <c r="C160" s="2">
        <v>6.1</v>
      </c>
      <c r="D160" s="2">
        <v>20</v>
      </c>
      <c r="E160" s="2">
        <v>20</v>
      </c>
      <c r="F160" s="2">
        <v>0</v>
      </c>
      <c r="G160" s="2">
        <v>30</v>
      </c>
      <c r="H160" s="3">
        <v>0</v>
      </c>
      <c r="I160" s="2">
        <v>0.09</v>
      </c>
      <c r="J160" s="2">
        <v>11</v>
      </c>
      <c r="K160" s="6" t="s">
        <v>90</v>
      </c>
      <c r="L160" s="4">
        <v>45897</v>
      </c>
      <c r="M160" s="2">
        <f t="shared" si="1"/>
        <v>0.26</v>
      </c>
      <c r="O160" s="12"/>
      <c r="P160" s="8"/>
      <c r="Q160" s="8"/>
    </row>
    <row r="161" spans="1:17" x14ac:dyDescent="0.25">
      <c r="A161" s="2" t="s">
        <v>107</v>
      </c>
      <c r="B161" s="2">
        <v>4.7</v>
      </c>
      <c r="C161" s="2">
        <v>6.1</v>
      </c>
      <c r="D161" s="2">
        <v>0</v>
      </c>
      <c r="E161" s="2">
        <v>20</v>
      </c>
      <c r="F161" s="2">
        <v>40</v>
      </c>
      <c r="G161" s="2">
        <v>0</v>
      </c>
      <c r="H161" s="3">
        <v>0</v>
      </c>
      <c r="I161" s="2">
        <v>0.09</v>
      </c>
      <c r="J161" s="2">
        <v>8</v>
      </c>
      <c r="K161" s="2" t="s">
        <v>89</v>
      </c>
      <c r="L161" s="4"/>
      <c r="M161" s="2">
        <v>0.25</v>
      </c>
      <c r="O161" s="12"/>
      <c r="P161" s="8"/>
      <c r="Q161" s="8"/>
    </row>
    <row r="162" spans="1:17" x14ac:dyDescent="0.25">
      <c r="A162" s="2" t="s">
        <v>108</v>
      </c>
      <c r="B162" s="2">
        <v>4.7</v>
      </c>
      <c r="C162" s="2">
        <v>6.1</v>
      </c>
      <c r="D162" s="2">
        <v>0</v>
      </c>
      <c r="E162" s="2">
        <v>20</v>
      </c>
      <c r="F162" s="2">
        <v>0</v>
      </c>
      <c r="G162" s="2">
        <v>80</v>
      </c>
      <c r="H162" s="3">
        <v>0</v>
      </c>
      <c r="I162" s="2">
        <v>0.09</v>
      </c>
      <c r="J162" s="2">
        <v>9</v>
      </c>
      <c r="K162" s="2" t="s">
        <v>89</v>
      </c>
      <c r="L162" s="4"/>
      <c r="M162" s="2">
        <v>0.25</v>
      </c>
      <c r="O162" s="12"/>
      <c r="P162" s="8"/>
      <c r="Q162" s="8"/>
    </row>
    <row r="163" spans="1:17" x14ac:dyDescent="0.25">
      <c r="A163" s="2" t="s">
        <v>109</v>
      </c>
      <c r="B163" s="2">
        <v>4.7</v>
      </c>
      <c r="C163" s="2">
        <v>6.1</v>
      </c>
      <c r="D163" s="2">
        <v>10</v>
      </c>
      <c r="E163" s="2">
        <v>20</v>
      </c>
      <c r="F163" s="2">
        <v>30</v>
      </c>
      <c r="G163" s="2">
        <v>0</v>
      </c>
      <c r="H163" s="3">
        <v>0</v>
      </c>
      <c r="I163" s="2">
        <v>0.09</v>
      </c>
      <c r="J163" s="2">
        <v>10</v>
      </c>
      <c r="K163" s="2" t="s">
        <v>89</v>
      </c>
      <c r="L163" s="4"/>
      <c r="M163" s="2">
        <v>0.25</v>
      </c>
      <c r="O163" s="12"/>
      <c r="P163" s="8"/>
      <c r="Q163" s="8"/>
    </row>
    <row r="164" spans="1:17" x14ac:dyDescent="0.25">
      <c r="A164" s="2" t="s">
        <v>110</v>
      </c>
      <c r="B164" s="2">
        <v>4.7</v>
      </c>
      <c r="C164" s="2">
        <v>6.1</v>
      </c>
      <c r="D164" s="2">
        <v>20</v>
      </c>
      <c r="E164" s="2">
        <v>20</v>
      </c>
      <c r="F164" s="2">
        <v>0</v>
      </c>
      <c r="G164" s="2">
        <v>30</v>
      </c>
      <c r="H164" s="3">
        <v>0</v>
      </c>
      <c r="I164" s="2">
        <v>0.09</v>
      </c>
      <c r="J164" s="2">
        <v>11</v>
      </c>
      <c r="K164" s="2" t="s">
        <v>89</v>
      </c>
      <c r="L164" s="4"/>
      <c r="M164" s="2">
        <v>0.25</v>
      </c>
      <c r="O164" s="12"/>
      <c r="P164" s="8"/>
      <c r="Q164" s="8"/>
    </row>
    <row r="165" spans="1:17" x14ac:dyDescent="0.25">
      <c r="A165" s="2" t="s">
        <v>111</v>
      </c>
      <c r="B165" s="2">
        <v>4.7</v>
      </c>
      <c r="C165" s="2">
        <v>6.1</v>
      </c>
      <c r="D165" s="2">
        <v>0</v>
      </c>
      <c r="E165" s="2">
        <v>20</v>
      </c>
      <c r="F165" s="2">
        <v>40</v>
      </c>
      <c r="G165" s="2">
        <v>0</v>
      </c>
      <c r="H165" s="3">
        <v>0</v>
      </c>
      <c r="I165" s="2">
        <v>0.09</v>
      </c>
      <c r="J165" s="2">
        <v>8</v>
      </c>
      <c r="K165" s="6" t="s">
        <v>90</v>
      </c>
      <c r="L165" s="4"/>
      <c r="M165" s="2">
        <v>0.25</v>
      </c>
      <c r="O165" s="12"/>
      <c r="P165" s="8"/>
      <c r="Q165" s="8"/>
    </row>
    <row r="166" spans="1:17" x14ac:dyDescent="0.25">
      <c r="A166" s="2" t="s">
        <v>112</v>
      </c>
      <c r="B166" s="2">
        <v>4.7</v>
      </c>
      <c r="C166" s="2">
        <v>6.1</v>
      </c>
      <c r="D166" s="2">
        <v>0</v>
      </c>
      <c r="E166" s="2">
        <v>20</v>
      </c>
      <c r="F166" s="2">
        <v>0</v>
      </c>
      <c r="G166" s="2">
        <v>80</v>
      </c>
      <c r="H166" s="3">
        <v>0</v>
      </c>
      <c r="I166" s="2">
        <v>0.09</v>
      </c>
      <c r="J166" s="2">
        <v>9</v>
      </c>
      <c r="K166" s="6" t="s">
        <v>90</v>
      </c>
      <c r="L166" s="4"/>
      <c r="M166" s="2">
        <v>0.25</v>
      </c>
      <c r="O166" s="12"/>
      <c r="P166" s="8"/>
      <c r="Q166" s="8"/>
    </row>
    <row r="167" spans="1:17" x14ac:dyDescent="0.25">
      <c r="A167" s="2" t="s">
        <v>113</v>
      </c>
      <c r="B167" s="2">
        <v>4.7</v>
      </c>
      <c r="C167" s="2">
        <v>6.1</v>
      </c>
      <c r="D167" s="2">
        <v>10</v>
      </c>
      <c r="E167" s="2">
        <v>20</v>
      </c>
      <c r="F167" s="2">
        <v>30</v>
      </c>
      <c r="G167" s="2">
        <v>0</v>
      </c>
      <c r="H167" s="3">
        <v>0</v>
      </c>
      <c r="I167" s="2">
        <v>0.09</v>
      </c>
      <c r="J167" s="2">
        <v>10</v>
      </c>
      <c r="K167" s="6" t="s">
        <v>90</v>
      </c>
      <c r="L167" s="4"/>
      <c r="M167" s="2">
        <v>0.25</v>
      </c>
      <c r="O167" s="12"/>
      <c r="P167" s="8"/>
      <c r="Q167" s="8"/>
    </row>
    <row r="168" spans="1:17" x14ac:dyDescent="0.25">
      <c r="A168" s="2" t="s">
        <v>114</v>
      </c>
      <c r="B168" s="2">
        <v>4.7</v>
      </c>
      <c r="C168" s="2">
        <v>6.1</v>
      </c>
      <c r="D168" s="2">
        <v>20</v>
      </c>
      <c r="E168" s="2">
        <v>20</v>
      </c>
      <c r="F168" s="2">
        <v>0</v>
      </c>
      <c r="G168" s="2">
        <v>30</v>
      </c>
      <c r="H168" s="3">
        <v>0</v>
      </c>
      <c r="I168" s="2">
        <v>0.09</v>
      </c>
      <c r="J168" s="2">
        <v>11</v>
      </c>
      <c r="K168" s="6" t="s">
        <v>90</v>
      </c>
      <c r="L168" s="4"/>
      <c r="M168" s="2">
        <v>0.25</v>
      </c>
      <c r="O168" s="12"/>
      <c r="P168" s="8"/>
      <c r="Q168" s="8"/>
    </row>
    <row r="169" spans="1:17" x14ac:dyDescent="0.25">
      <c r="A169" s="2" t="s">
        <v>115</v>
      </c>
      <c r="B169" s="2">
        <v>4.7</v>
      </c>
      <c r="C169" s="2">
        <v>6.1</v>
      </c>
      <c r="D169" s="2">
        <v>0</v>
      </c>
      <c r="E169" s="2">
        <v>20</v>
      </c>
      <c r="F169" s="2">
        <v>40</v>
      </c>
      <c r="G169" s="2">
        <v>0</v>
      </c>
      <c r="H169" s="3">
        <v>0</v>
      </c>
      <c r="I169" s="2">
        <v>0.09</v>
      </c>
      <c r="J169" s="2">
        <v>8</v>
      </c>
      <c r="K169" s="2" t="s">
        <v>89</v>
      </c>
      <c r="L169" s="4"/>
      <c r="M169" s="2">
        <v>0.5</v>
      </c>
      <c r="O169" s="12"/>
      <c r="P169" s="8"/>
      <c r="Q169" s="8"/>
    </row>
    <row r="170" spans="1:17" x14ac:dyDescent="0.25">
      <c r="A170" s="2" t="s">
        <v>116</v>
      </c>
      <c r="B170" s="2">
        <v>4.7</v>
      </c>
      <c r="C170" s="2">
        <v>6.1</v>
      </c>
      <c r="D170" s="2">
        <v>0</v>
      </c>
      <c r="E170" s="2">
        <v>20</v>
      </c>
      <c r="F170" s="2">
        <v>0</v>
      </c>
      <c r="G170" s="2">
        <v>80</v>
      </c>
      <c r="H170" s="3">
        <v>0</v>
      </c>
      <c r="I170" s="2">
        <v>0.09</v>
      </c>
      <c r="J170" s="2">
        <v>9</v>
      </c>
      <c r="K170" s="2" t="s">
        <v>89</v>
      </c>
      <c r="L170" s="4"/>
      <c r="M170" s="2">
        <v>0.5</v>
      </c>
      <c r="O170" s="12"/>
      <c r="P170" s="8"/>
      <c r="Q170" s="8"/>
    </row>
    <row r="171" spans="1:17" x14ac:dyDescent="0.25">
      <c r="A171" s="2" t="s">
        <v>117</v>
      </c>
      <c r="B171" s="2">
        <v>4.7</v>
      </c>
      <c r="C171" s="2">
        <v>6.1</v>
      </c>
      <c r="D171" s="2">
        <v>10</v>
      </c>
      <c r="E171" s="2">
        <v>20</v>
      </c>
      <c r="F171" s="2">
        <v>30</v>
      </c>
      <c r="G171" s="2">
        <v>0</v>
      </c>
      <c r="H171" s="3">
        <v>0</v>
      </c>
      <c r="I171" s="2">
        <v>0.09</v>
      </c>
      <c r="J171" s="2">
        <v>10</v>
      </c>
      <c r="K171" s="2" t="s">
        <v>89</v>
      </c>
      <c r="L171" s="4"/>
      <c r="M171" s="2">
        <v>0.5</v>
      </c>
      <c r="O171" s="12"/>
      <c r="P171" s="8"/>
      <c r="Q171" s="8"/>
    </row>
    <row r="172" spans="1:17" x14ac:dyDescent="0.25">
      <c r="A172" s="2" t="s">
        <v>118</v>
      </c>
      <c r="B172" s="2">
        <v>4.7</v>
      </c>
      <c r="C172" s="2">
        <v>6.1</v>
      </c>
      <c r="D172" s="2">
        <v>20</v>
      </c>
      <c r="E172" s="2">
        <v>20</v>
      </c>
      <c r="F172" s="2">
        <v>0</v>
      </c>
      <c r="G172" s="2">
        <v>30</v>
      </c>
      <c r="H172" s="3">
        <v>0</v>
      </c>
      <c r="I172" s="2">
        <v>0.09</v>
      </c>
      <c r="J172" s="2">
        <v>11</v>
      </c>
      <c r="K172" s="2" t="s">
        <v>89</v>
      </c>
      <c r="L172" s="4"/>
      <c r="M172" s="2">
        <v>0.5</v>
      </c>
      <c r="O172" s="12"/>
      <c r="P172" s="8"/>
      <c r="Q172" s="8"/>
    </row>
    <row r="173" spans="1:17" x14ac:dyDescent="0.25">
      <c r="A173" s="2" t="s">
        <v>119</v>
      </c>
      <c r="B173" s="2">
        <v>4.7</v>
      </c>
      <c r="C173" s="2">
        <v>6.1</v>
      </c>
      <c r="D173" s="2">
        <v>0</v>
      </c>
      <c r="E173" s="2">
        <v>20</v>
      </c>
      <c r="F173" s="2">
        <v>40</v>
      </c>
      <c r="G173" s="2">
        <v>0</v>
      </c>
      <c r="H173" s="3">
        <v>0</v>
      </c>
      <c r="I173" s="2">
        <v>0.09</v>
      </c>
      <c r="J173" s="2">
        <v>8</v>
      </c>
      <c r="K173" s="2" t="s">
        <v>91</v>
      </c>
      <c r="M173" s="2" t="s">
        <v>92</v>
      </c>
      <c r="N173" s="2" t="s">
        <v>214</v>
      </c>
      <c r="O173" s="12">
        <v>0.97899999999999998</v>
      </c>
      <c r="P173" s="8"/>
      <c r="Q173" s="8"/>
    </row>
    <row r="174" spans="1:17" x14ac:dyDescent="0.25">
      <c r="A174" s="2" t="s">
        <v>120</v>
      </c>
      <c r="B174" s="2">
        <v>4.7</v>
      </c>
      <c r="C174" s="2">
        <v>6.1</v>
      </c>
      <c r="D174" s="2">
        <v>0</v>
      </c>
      <c r="E174" s="2">
        <v>20</v>
      </c>
      <c r="F174" s="2">
        <v>0</v>
      </c>
      <c r="G174" s="2">
        <v>80</v>
      </c>
      <c r="H174" s="3">
        <v>0</v>
      </c>
      <c r="I174" s="2">
        <v>0.09</v>
      </c>
      <c r="J174" s="2">
        <v>9</v>
      </c>
      <c r="K174" s="2" t="s">
        <v>91</v>
      </c>
      <c r="M174" s="2" t="s">
        <v>92</v>
      </c>
      <c r="N174" s="2" t="s">
        <v>214</v>
      </c>
      <c r="O174" s="12">
        <v>0.93899999999999995</v>
      </c>
      <c r="P174" s="8"/>
      <c r="Q174" s="8"/>
    </row>
    <row r="175" spans="1:17" x14ac:dyDescent="0.25">
      <c r="A175" s="2" t="s">
        <v>121</v>
      </c>
      <c r="B175" s="2">
        <v>4.7</v>
      </c>
      <c r="C175" s="2">
        <v>6.1</v>
      </c>
      <c r="D175" s="2">
        <v>10</v>
      </c>
      <c r="E175" s="2">
        <v>20</v>
      </c>
      <c r="F175" s="2">
        <v>30</v>
      </c>
      <c r="G175" s="2">
        <v>0</v>
      </c>
      <c r="H175" s="3">
        <v>0</v>
      </c>
      <c r="I175" s="2">
        <v>0.09</v>
      </c>
      <c r="J175" s="2">
        <v>10</v>
      </c>
      <c r="K175" s="2" t="s">
        <v>91</v>
      </c>
      <c r="M175" s="2" t="s">
        <v>92</v>
      </c>
      <c r="N175" s="2" t="s">
        <v>214</v>
      </c>
      <c r="O175" s="12">
        <v>1.0509999999999999</v>
      </c>
      <c r="P175" s="8"/>
      <c r="Q175" s="8"/>
    </row>
    <row r="176" spans="1:17" x14ac:dyDescent="0.25">
      <c r="A176" s="2" t="s">
        <v>122</v>
      </c>
      <c r="B176" s="2">
        <v>4.7</v>
      </c>
      <c r="C176" s="2">
        <v>6.1</v>
      </c>
      <c r="D176" s="2">
        <v>20</v>
      </c>
      <c r="E176" s="2">
        <v>20</v>
      </c>
      <c r="F176" s="2">
        <v>0</v>
      </c>
      <c r="G176" s="2">
        <v>30</v>
      </c>
      <c r="H176" s="3">
        <v>0</v>
      </c>
      <c r="I176" s="2">
        <v>0.09</v>
      </c>
      <c r="J176" s="2">
        <v>11</v>
      </c>
      <c r="K176" s="2" t="s">
        <v>91</v>
      </c>
      <c r="M176" s="2" t="s">
        <v>92</v>
      </c>
      <c r="N176" s="2" t="s">
        <v>214</v>
      </c>
      <c r="O176" s="12">
        <v>1.0349999999999999</v>
      </c>
      <c r="P176" s="8"/>
      <c r="Q176" s="8"/>
    </row>
    <row r="177" spans="1:24" x14ac:dyDescent="0.25">
      <c r="A177" s="2" t="s">
        <v>123</v>
      </c>
      <c r="B177" s="2">
        <v>4.7</v>
      </c>
      <c r="C177" s="2">
        <v>6.1</v>
      </c>
      <c r="D177" s="2">
        <v>0</v>
      </c>
      <c r="E177" s="2">
        <v>20</v>
      </c>
      <c r="F177" s="2">
        <v>40</v>
      </c>
      <c r="G177" s="2">
        <v>0</v>
      </c>
      <c r="H177" s="3">
        <v>0</v>
      </c>
      <c r="I177" s="2">
        <v>0.09</v>
      </c>
      <c r="J177" s="2">
        <v>8</v>
      </c>
      <c r="K177" s="2" t="s">
        <v>88</v>
      </c>
      <c r="L177" s="4"/>
      <c r="M177" s="2">
        <v>1</v>
      </c>
      <c r="O177" s="12"/>
      <c r="P177" s="8"/>
      <c r="Q177" s="8"/>
    </row>
    <row r="178" spans="1:24" x14ac:dyDescent="0.25">
      <c r="A178" s="2" t="s">
        <v>124</v>
      </c>
      <c r="B178" s="2">
        <v>4.7</v>
      </c>
      <c r="C178" s="2">
        <v>6.1</v>
      </c>
      <c r="D178" s="2">
        <v>0</v>
      </c>
      <c r="E178" s="2">
        <v>20</v>
      </c>
      <c r="F178" s="2">
        <v>0</v>
      </c>
      <c r="G178" s="2">
        <v>80</v>
      </c>
      <c r="H178" s="3">
        <v>0</v>
      </c>
      <c r="I178" s="2">
        <v>0.09</v>
      </c>
      <c r="J178" s="2">
        <v>9</v>
      </c>
      <c r="K178" s="2" t="s">
        <v>88</v>
      </c>
      <c r="L178" s="4"/>
      <c r="M178" s="2">
        <v>1</v>
      </c>
      <c r="O178" s="12"/>
      <c r="P178" s="8"/>
      <c r="Q178" s="8"/>
    </row>
    <row r="179" spans="1:24" x14ac:dyDescent="0.25">
      <c r="A179" s="2" t="s">
        <v>125</v>
      </c>
      <c r="B179" s="2">
        <v>4.7</v>
      </c>
      <c r="C179" s="2">
        <v>6.1</v>
      </c>
      <c r="D179" s="2">
        <v>10</v>
      </c>
      <c r="E179" s="2">
        <v>20</v>
      </c>
      <c r="F179" s="2">
        <v>30</v>
      </c>
      <c r="G179" s="2">
        <v>0</v>
      </c>
      <c r="H179" s="3">
        <v>0</v>
      </c>
      <c r="I179" s="2">
        <v>0.09</v>
      </c>
      <c r="J179" s="2">
        <v>10</v>
      </c>
      <c r="K179" s="2" t="s">
        <v>88</v>
      </c>
      <c r="L179" s="4"/>
      <c r="M179" s="2">
        <v>1</v>
      </c>
      <c r="O179" s="12"/>
      <c r="P179" s="8"/>
      <c r="Q179" s="8"/>
    </row>
    <row r="180" spans="1:24" x14ac:dyDescent="0.25">
      <c r="A180" s="2" t="s">
        <v>126</v>
      </c>
      <c r="B180" s="2">
        <v>4.7</v>
      </c>
      <c r="C180" s="2">
        <v>6.1</v>
      </c>
      <c r="D180" s="2">
        <v>20</v>
      </c>
      <c r="E180" s="2">
        <v>20</v>
      </c>
      <c r="F180" s="2">
        <v>0</v>
      </c>
      <c r="G180" s="2">
        <v>30</v>
      </c>
      <c r="H180" s="3">
        <v>0</v>
      </c>
      <c r="I180" s="2">
        <v>0.09</v>
      </c>
      <c r="J180" s="2">
        <v>11</v>
      </c>
      <c r="K180" s="2" t="s">
        <v>88</v>
      </c>
      <c r="L180" s="4"/>
      <c r="M180" s="2">
        <v>1</v>
      </c>
      <c r="O180" s="12"/>
      <c r="P180" s="8"/>
      <c r="Q180" s="8"/>
    </row>
    <row r="181" spans="1:24" x14ac:dyDescent="0.25">
      <c r="A181" s="2" t="s">
        <v>127</v>
      </c>
      <c r="B181" s="2">
        <v>4.7</v>
      </c>
      <c r="C181" s="2">
        <v>6.1</v>
      </c>
      <c r="D181" s="2">
        <v>0</v>
      </c>
      <c r="E181" s="2">
        <v>20</v>
      </c>
      <c r="F181" s="2">
        <v>40</v>
      </c>
      <c r="G181" s="2">
        <v>0</v>
      </c>
      <c r="H181" s="3">
        <v>0</v>
      </c>
      <c r="I181" s="2">
        <v>0.09</v>
      </c>
      <c r="J181" s="2">
        <v>8</v>
      </c>
      <c r="K181" s="2" t="s">
        <v>88</v>
      </c>
      <c r="L181" s="4"/>
      <c r="M181" s="2">
        <v>3</v>
      </c>
      <c r="O181" s="12"/>
      <c r="P181" s="8"/>
      <c r="Q181" s="8"/>
    </row>
    <row r="182" spans="1:24" x14ac:dyDescent="0.25">
      <c r="A182" s="2" t="s">
        <v>128</v>
      </c>
      <c r="B182" s="2">
        <v>4.7</v>
      </c>
      <c r="C182" s="2">
        <v>6.1</v>
      </c>
      <c r="D182" s="2">
        <v>0</v>
      </c>
      <c r="E182" s="2">
        <v>20</v>
      </c>
      <c r="F182" s="2">
        <v>0</v>
      </c>
      <c r="G182" s="2">
        <v>80</v>
      </c>
      <c r="H182" s="3">
        <v>0</v>
      </c>
      <c r="I182" s="2">
        <v>0.09</v>
      </c>
      <c r="J182" s="2">
        <v>9</v>
      </c>
      <c r="K182" s="2" t="s">
        <v>88</v>
      </c>
      <c r="L182" s="4"/>
      <c r="M182" s="2">
        <v>3</v>
      </c>
      <c r="O182" s="12"/>
      <c r="P182" s="8"/>
      <c r="Q182" s="8"/>
    </row>
    <row r="183" spans="1:24" x14ac:dyDescent="0.25">
      <c r="A183" s="2" t="s">
        <v>129</v>
      </c>
      <c r="B183" s="2">
        <v>4.7</v>
      </c>
      <c r="C183" s="2">
        <v>6.1</v>
      </c>
      <c r="D183" s="2">
        <v>10</v>
      </c>
      <c r="E183" s="2">
        <v>20</v>
      </c>
      <c r="F183" s="2">
        <v>30</v>
      </c>
      <c r="G183" s="2">
        <v>0</v>
      </c>
      <c r="H183" s="3">
        <v>0</v>
      </c>
      <c r="I183" s="2">
        <v>0.09</v>
      </c>
      <c r="J183" s="2">
        <v>10</v>
      </c>
      <c r="K183" s="2" t="s">
        <v>88</v>
      </c>
      <c r="L183" s="4"/>
      <c r="M183" s="2">
        <v>3</v>
      </c>
      <c r="O183" s="12"/>
      <c r="P183" s="8"/>
      <c r="Q183" s="8"/>
    </row>
    <row r="184" spans="1:24" x14ac:dyDescent="0.25">
      <c r="A184" s="2" t="s">
        <v>130</v>
      </c>
      <c r="B184" s="2">
        <v>4.7</v>
      </c>
      <c r="C184" s="2">
        <v>6.1</v>
      </c>
      <c r="D184" s="2">
        <v>20</v>
      </c>
      <c r="E184" s="2">
        <v>20</v>
      </c>
      <c r="F184" s="2">
        <v>0</v>
      </c>
      <c r="G184" s="2">
        <v>30</v>
      </c>
      <c r="H184" s="3">
        <v>0</v>
      </c>
      <c r="I184" s="2">
        <v>0.09</v>
      </c>
      <c r="J184" s="2">
        <v>11</v>
      </c>
      <c r="K184" s="2" t="s">
        <v>88</v>
      </c>
      <c r="L184" s="4"/>
      <c r="M184" s="2">
        <v>3</v>
      </c>
      <c r="O184" s="12"/>
      <c r="P184" s="8"/>
      <c r="Q184" s="8"/>
    </row>
    <row r="185" spans="1:24" x14ac:dyDescent="0.25">
      <c r="A185" s="2" t="s">
        <v>131</v>
      </c>
      <c r="B185" s="2">
        <v>4.7</v>
      </c>
      <c r="C185" s="2">
        <v>6.1</v>
      </c>
      <c r="D185" s="2">
        <v>0</v>
      </c>
      <c r="E185" s="2">
        <v>20</v>
      </c>
      <c r="F185" s="2">
        <v>40</v>
      </c>
      <c r="G185" s="2">
        <v>0</v>
      </c>
      <c r="H185" s="3">
        <v>0</v>
      </c>
      <c r="I185" s="2">
        <v>0.09</v>
      </c>
      <c r="J185" s="2">
        <v>8</v>
      </c>
      <c r="K185" s="2" t="s">
        <v>88</v>
      </c>
      <c r="L185" s="4"/>
      <c r="M185" s="2">
        <v>6</v>
      </c>
      <c r="O185" s="12"/>
      <c r="P185" s="8"/>
      <c r="Q185" s="8"/>
    </row>
    <row r="186" spans="1:24" x14ac:dyDescent="0.25">
      <c r="A186" s="2" t="s">
        <v>132</v>
      </c>
      <c r="B186" s="2">
        <v>4.7</v>
      </c>
      <c r="C186" s="2">
        <v>6.1</v>
      </c>
      <c r="D186" s="2">
        <v>0</v>
      </c>
      <c r="E186" s="2">
        <v>20</v>
      </c>
      <c r="F186" s="2">
        <v>0</v>
      </c>
      <c r="G186" s="2">
        <v>80</v>
      </c>
      <c r="H186" s="3">
        <v>0</v>
      </c>
      <c r="I186" s="2">
        <v>0.09</v>
      </c>
      <c r="J186" s="2">
        <v>9</v>
      </c>
      <c r="K186" s="2" t="s">
        <v>88</v>
      </c>
      <c r="L186" s="4"/>
      <c r="M186" s="2">
        <v>6</v>
      </c>
      <c r="O186" s="12"/>
      <c r="P186" s="8"/>
      <c r="Q186" s="8"/>
    </row>
    <row r="187" spans="1:24" x14ac:dyDescent="0.25">
      <c r="A187" s="2" t="s">
        <v>133</v>
      </c>
      <c r="B187" s="2">
        <v>4.7</v>
      </c>
      <c r="C187" s="2">
        <v>6.1</v>
      </c>
      <c r="D187" s="2">
        <v>10</v>
      </c>
      <c r="E187" s="2">
        <v>20</v>
      </c>
      <c r="F187" s="2">
        <v>30</v>
      </c>
      <c r="G187" s="2">
        <v>0</v>
      </c>
      <c r="H187" s="3">
        <v>0</v>
      </c>
      <c r="I187" s="2">
        <v>0.09</v>
      </c>
      <c r="J187" s="2">
        <v>10</v>
      </c>
      <c r="K187" s="2" t="s">
        <v>88</v>
      </c>
      <c r="L187" s="4"/>
      <c r="M187" s="2">
        <v>6</v>
      </c>
      <c r="O187" s="12"/>
      <c r="P187" s="8"/>
      <c r="Q187" s="8"/>
    </row>
    <row r="188" spans="1:24" x14ac:dyDescent="0.25">
      <c r="A188" s="2" t="s">
        <v>134</v>
      </c>
      <c r="B188" s="2">
        <v>4.7</v>
      </c>
      <c r="C188" s="2">
        <v>6.1</v>
      </c>
      <c r="D188" s="2">
        <v>20</v>
      </c>
      <c r="E188" s="2">
        <v>20</v>
      </c>
      <c r="F188" s="2">
        <v>0</v>
      </c>
      <c r="G188" s="2">
        <v>30</v>
      </c>
      <c r="H188" s="3">
        <v>0</v>
      </c>
      <c r="I188" s="2">
        <v>0.09</v>
      </c>
      <c r="J188" s="2">
        <v>11</v>
      </c>
      <c r="K188" s="2" t="s">
        <v>88</v>
      </c>
      <c r="L188" s="4"/>
      <c r="M188" s="2">
        <v>6</v>
      </c>
      <c r="O188" s="12"/>
      <c r="P188" s="8"/>
      <c r="Q188" s="8"/>
    </row>
    <row r="189" spans="1:24" x14ac:dyDescent="0.25">
      <c r="A189" s="2" t="s">
        <v>136</v>
      </c>
      <c r="B189" s="2">
        <v>4.7</v>
      </c>
      <c r="C189" s="2">
        <v>6.1</v>
      </c>
      <c r="D189" s="2">
        <v>0</v>
      </c>
      <c r="E189" s="2">
        <v>95</v>
      </c>
      <c r="F189" s="2">
        <v>0</v>
      </c>
      <c r="G189" s="2">
        <v>0</v>
      </c>
      <c r="H189" s="2">
        <v>0</v>
      </c>
      <c r="I189" s="2">
        <v>0.5</v>
      </c>
      <c r="J189" s="2">
        <v>12</v>
      </c>
      <c r="K189" s="2" t="s">
        <v>88</v>
      </c>
      <c r="L189" s="4">
        <v>45891</v>
      </c>
      <c r="M189" s="2">
        <v>0</v>
      </c>
      <c r="N189" s="2" t="s">
        <v>214</v>
      </c>
      <c r="O189" s="12">
        <v>0.93200000000000005</v>
      </c>
      <c r="P189" s="8">
        <v>5.92</v>
      </c>
      <c r="Q189" s="2">
        <v>77110</v>
      </c>
      <c r="R189" s="2">
        <v>0.42</v>
      </c>
      <c r="S189" s="2">
        <v>98.43</v>
      </c>
      <c r="T189" s="2">
        <v>1.1499999999999999</v>
      </c>
      <c r="U189" s="2">
        <v>1429545</v>
      </c>
      <c r="V189" s="7">
        <v>60.7471923828125</v>
      </c>
      <c r="W189" s="2">
        <v>55.83</v>
      </c>
      <c r="X189" s="2">
        <v>329</v>
      </c>
    </row>
    <row r="190" spans="1:24" x14ac:dyDescent="0.25">
      <c r="A190" s="2" t="s">
        <v>137</v>
      </c>
      <c r="B190" s="2">
        <v>4.7</v>
      </c>
      <c r="C190" s="2">
        <v>6.1</v>
      </c>
      <c r="D190" s="2">
        <v>0</v>
      </c>
      <c r="E190" s="2">
        <v>20</v>
      </c>
      <c r="F190" s="2">
        <v>0</v>
      </c>
      <c r="G190" s="2">
        <v>0</v>
      </c>
      <c r="H190" s="2">
        <v>20</v>
      </c>
      <c r="I190" s="2">
        <v>0.5</v>
      </c>
      <c r="J190" s="2">
        <v>13</v>
      </c>
      <c r="K190" s="2" t="s">
        <v>88</v>
      </c>
      <c r="L190" s="4">
        <v>45891</v>
      </c>
      <c r="M190" s="2">
        <v>0</v>
      </c>
      <c r="N190" s="2" t="s">
        <v>214</v>
      </c>
      <c r="O190" s="12">
        <v>0.95399999999999996</v>
      </c>
      <c r="P190" s="2">
        <v>6.04</v>
      </c>
      <c r="Q190" s="2">
        <v>77125</v>
      </c>
      <c r="R190" s="2">
        <v>0.52</v>
      </c>
      <c r="S190" s="2">
        <v>98.55</v>
      </c>
      <c r="T190" s="2">
        <v>0.93</v>
      </c>
      <c r="U190" s="2">
        <v>1431168</v>
      </c>
      <c r="V190" s="7">
        <v>60.810604095458984</v>
      </c>
      <c r="W190" s="2">
        <v>57.96</v>
      </c>
      <c r="X190" s="2">
        <v>342</v>
      </c>
    </row>
    <row r="191" spans="1:24" x14ac:dyDescent="0.25">
      <c r="A191" s="2" t="s">
        <v>136</v>
      </c>
      <c r="B191" s="2">
        <v>4.7</v>
      </c>
      <c r="C191" s="2">
        <v>6.1</v>
      </c>
      <c r="D191" s="2">
        <v>0</v>
      </c>
      <c r="E191" s="2">
        <v>95</v>
      </c>
      <c r="F191" s="2">
        <v>0</v>
      </c>
      <c r="G191" s="2">
        <v>0</v>
      </c>
      <c r="H191" s="2">
        <v>0</v>
      </c>
      <c r="I191" s="2">
        <v>0.5</v>
      </c>
      <c r="J191" s="2">
        <v>12</v>
      </c>
      <c r="K191" s="2" t="s">
        <v>89</v>
      </c>
      <c r="L191" s="4">
        <v>45891</v>
      </c>
      <c r="M191" s="2">
        <v>0</v>
      </c>
      <c r="N191" s="2" t="s">
        <v>214</v>
      </c>
      <c r="O191" s="12">
        <v>0.93200000000000005</v>
      </c>
      <c r="P191" s="8">
        <v>5.92</v>
      </c>
      <c r="Q191" s="2">
        <v>77110</v>
      </c>
      <c r="R191" s="2">
        <v>0.42</v>
      </c>
      <c r="S191" s="2">
        <v>98.43</v>
      </c>
      <c r="T191" s="2">
        <v>1.1499999999999999</v>
      </c>
      <c r="U191" s="2">
        <v>1429545</v>
      </c>
      <c r="V191" s="7">
        <v>60.7471923828125</v>
      </c>
      <c r="W191" s="2">
        <v>55.83</v>
      </c>
      <c r="X191" s="2">
        <v>329</v>
      </c>
    </row>
    <row r="192" spans="1:24" x14ac:dyDescent="0.25">
      <c r="A192" s="2" t="s">
        <v>137</v>
      </c>
      <c r="B192" s="2">
        <v>4.7</v>
      </c>
      <c r="C192" s="2">
        <v>6.1</v>
      </c>
      <c r="D192" s="2">
        <v>0</v>
      </c>
      <c r="E192" s="2">
        <v>20</v>
      </c>
      <c r="F192" s="2">
        <v>0</v>
      </c>
      <c r="G192" s="2">
        <v>0</v>
      </c>
      <c r="H192" s="2">
        <v>20</v>
      </c>
      <c r="I192" s="2">
        <v>0.5</v>
      </c>
      <c r="J192" s="2">
        <v>13</v>
      </c>
      <c r="K192" s="2" t="s">
        <v>89</v>
      </c>
      <c r="L192" s="4">
        <v>45891</v>
      </c>
      <c r="M192" s="2">
        <v>0</v>
      </c>
      <c r="N192" s="2" t="s">
        <v>214</v>
      </c>
      <c r="O192" s="12">
        <v>0.95399999999999996</v>
      </c>
      <c r="P192" s="2">
        <v>6.04</v>
      </c>
      <c r="Q192" s="2">
        <v>77125</v>
      </c>
      <c r="R192" s="2">
        <v>0.52</v>
      </c>
      <c r="S192" s="2">
        <v>98.55</v>
      </c>
      <c r="T192" s="2">
        <v>0.93</v>
      </c>
      <c r="U192" s="2">
        <v>1431168</v>
      </c>
      <c r="V192" s="7">
        <v>60.810604095458984</v>
      </c>
      <c r="W192" s="2">
        <v>57.96</v>
      </c>
      <c r="X192" s="2">
        <v>342</v>
      </c>
    </row>
    <row r="193" spans="1:24" x14ac:dyDescent="0.25">
      <c r="A193" s="2" t="s">
        <v>136</v>
      </c>
      <c r="B193" s="2">
        <v>4.7</v>
      </c>
      <c r="C193" s="2">
        <v>6.1</v>
      </c>
      <c r="D193" s="2">
        <v>0</v>
      </c>
      <c r="E193" s="2">
        <v>95</v>
      </c>
      <c r="F193" s="2">
        <v>0</v>
      </c>
      <c r="G193" s="2">
        <v>0</v>
      </c>
      <c r="H193" s="2">
        <v>0</v>
      </c>
      <c r="I193" s="2">
        <v>0.5</v>
      </c>
      <c r="J193" s="2">
        <v>12</v>
      </c>
      <c r="K193" s="6" t="s">
        <v>90</v>
      </c>
      <c r="L193" s="4">
        <v>45891</v>
      </c>
      <c r="M193" s="2">
        <v>0</v>
      </c>
      <c r="N193" s="2" t="s">
        <v>214</v>
      </c>
      <c r="O193" s="12">
        <v>0.93200000000000005</v>
      </c>
      <c r="P193" s="8">
        <v>5.92</v>
      </c>
      <c r="Q193" s="2">
        <v>77110</v>
      </c>
      <c r="R193" s="2">
        <v>0.42</v>
      </c>
      <c r="S193" s="2">
        <v>98.43</v>
      </c>
      <c r="T193" s="2">
        <v>1.1499999999999999</v>
      </c>
      <c r="U193" s="2">
        <v>1429545</v>
      </c>
      <c r="V193" s="7">
        <v>60.7471923828125</v>
      </c>
      <c r="W193" s="2">
        <v>55.83</v>
      </c>
      <c r="X193" s="2">
        <v>329</v>
      </c>
    </row>
    <row r="194" spans="1:24" x14ac:dyDescent="0.25">
      <c r="A194" s="2" t="s">
        <v>137</v>
      </c>
      <c r="B194" s="2">
        <v>4.7</v>
      </c>
      <c r="C194" s="2">
        <v>6.1</v>
      </c>
      <c r="D194" s="2">
        <v>0</v>
      </c>
      <c r="E194" s="2">
        <v>20</v>
      </c>
      <c r="F194" s="2">
        <v>0</v>
      </c>
      <c r="G194" s="2">
        <v>0</v>
      </c>
      <c r="H194" s="2">
        <v>20</v>
      </c>
      <c r="I194" s="2">
        <v>0.5</v>
      </c>
      <c r="J194" s="2">
        <v>13</v>
      </c>
      <c r="K194" s="6" t="s">
        <v>90</v>
      </c>
      <c r="L194" s="4">
        <v>45891</v>
      </c>
      <c r="M194" s="2">
        <v>0</v>
      </c>
      <c r="N194" s="2" t="s">
        <v>214</v>
      </c>
      <c r="O194" s="12">
        <v>0.95399999999999996</v>
      </c>
      <c r="P194" s="2">
        <v>6.04</v>
      </c>
      <c r="Q194" s="2">
        <v>77125</v>
      </c>
      <c r="R194" s="2">
        <v>0.52</v>
      </c>
      <c r="S194" s="2">
        <v>98.55</v>
      </c>
      <c r="T194" s="2">
        <v>0.93</v>
      </c>
      <c r="U194" s="2">
        <v>1431168</v>
      </c>
      <c r="V194" s="7">
        <v>60.810604095458984</v>
      </c>
      <c r="W194" s="2">
        <v>57.96</v>
      </c>
      <c r="X194" s="2">
        <v>342</v>
      </c>
    </row>
    <row r="195" spans="1:24" x14ac:dyDescent="0.25">
      <c r="A195" s="2" t="s">
        <v>136</v>
      </c>
      <c r="B195" s="2">
        <v>4.7</v>
      </c>
      <c r="C195" s="2">
        <v>6.1</v>
      </c>
      <c r="D195" s="2">
        <v>0</v>
      </c>
      <c r="E195" s="2">
        <v>95</v>
      </c>
      <c r="F195" s="2">
        <v>0</v>
      </c>
      <c r="G195" s="2">
        <v>0</v>
      </c>
      <c r="H195" s="2">
        <v>0</v>
      </c>
      <c r="I195" s="2">
        <v>0.5</v>
      </c>
      <c r="J195" s="2">
        <v>12</v>
      </c>
      <c r="K195" s="2" t="s">
        <v>91</v>
      </c>
      <c r="L195" s="4">
        <v>45891</v>
      </c>
      <c r="M195" s="2" t="s">
        <v>158</v>
      </c>
      <c r="N195" s="2" t="s">
        <v>214</v>
      </c>
      <c r="O195" s="12">
        <v>0.93200000000000005</v>
      </c>
      <c r="P195" s="8">
        <v>5.92</v>
      </c>
      <c r="Q195" s="2">
        <v>77110</v>
      </c>
      <c r="R195" s="2">
        <v>0.42</v>
      </c>
      <c r="S195" s="2">
        <v>98.43</v>
      </c>
      <c r="T195" s="2">
        <v>1.1499999999999999</v>
      </c>
      <c r="U195" s="2">
        <v>1429545</v>
      </c>
      <c r="V195" s="7">
        <v>60.7471923828125</v>
      </c>
      <c r="W195" s="2">
        <v>55.83</v>
      </c>
      <c r="X195" s="2">
        <v>329</v>
      </c>
    </row>
    <row r="196" spans="1:24" x14ac:dyDescent="0.25">
      <c r="A196" s="2" t="s">
        <v>137</v>
      </c>
      <c r="B196" s="2">
        <v>4.7</v>
      </c>
      <c r="C196" s="2">
        <v>6.1</v>
      </c>
      <c r="D196" s="2">
        <v>0</v>
      </c>
      <c r="E196" s="2">
        <v>20</v>
      </c>
      <c r="F196" s="2">
        <v>0</v>
      </c>
      <c r="G196" s="2">
        <v>0</v>
      </c>
      <c r="H196" s="2">
        <v>20</v>
      </c>
      <c r="I196" s="2">
        <v>0.5</v>
      </c>
      <c r="J196" s="2">
        <v>13</v>
      </c>
      <c r="K196" s="2" t="s">
        <v>91</v>
      </c>
      <c r="L196" s="4">
        <v>45891</v>
      </c>
      <c r="M196" s="2" t="s">
        <v>158</v>
      </c>
      <c r="N196" s="2" t="s">
        <v>214</v>
      </c>
      <c r="O196" s="12">
        <v>0.95399999999999996</v>
      </c>
      <c r="P196" s="2">
        <v>6.04</v>
      </c>
      <c r="Q196" s="2">
        <v>77125</v>
      </c>
      <c r="R196" s="2">
        <v>0.52</v>
      </c>
      <c r="S196" s="2">
        <v>98.55</v>
      </c>
      <c r="T196" s="2">
        <v>0.93</v>
      </c>
      <c r="U196" s="2">
        <v>1431168</v>
      </c>
      <c r="V196" s="7">
        <v>60.810604095458984</v>
      </c>
      <c r="W196" s="2">
        <v>57.96</v>
      </c>
      <c r="X196" s="2">
        <v>342</v>
      </c>
    </row>
    <row r="197" spans="1:24" x14ac:dyDescent="0.25">
      <c r="A197" s="2" t="s">
        <v>188</v>
      </c>
      <c r="B197" s="2">
        <v>4.7</v>
      </c>
      <c r="C197" s="2">
        <v>6.1</v>
      </c>
      <c r="D197" s="2">
        <v>0</v>
      </c>
      <c r="E197" s="2">
        <v>95</v>
      </c>
      <c r="F197" s="2">
        <v>0</v>
      </c>
      <c r="G197" s="2">
        <v>0</v>
      </c>
      <c r="H197" s="2">
        <v>0</v>
      </c>
      <c r="I197" s="2">
        <v>0.5</v>
      </c>
      <c r="J197" s="2">
        <v>12</v>
      </c>
      <c r="K197" s="2" t="s">
        <v>89</v>
      </c>
      <c r="L197" s="4">
        <v>45894</v>
      </c>
      <c r="M197" s="2">
        <f>ROUND((L197-$L$189)/30.5,2)</f>
        <v>0.1</v>
      </c>
      <c r="O197" s="12"/>
      <c r="Q197" s="2">
        <v>77544</v>
      </c>
      <c r="R197" s="2">
        <v>0.54</v>
      </c>
      <c r="S197" s="2">
        <v>98.47</v>
      </c>
      <c r="T197" s="2">
        <v>0.99</v>
      </c>
      <c r="U197" s="2">
        <v>1437774</v>
      </c>
    </row>
    <row r="198" spans="1:24" x14ac:dyDescent="0.25">
      <c r="A198" s="2" t="s">
        <v>189</v>
      </c>
      <c r="B198" s="2">
        <v>4.7</v>
      </c>
      <c r="C198" s="2">
        <v>6.1</v>
      </c>
      <c r="D198" s="2">
        <v>0</v>
      </c>
      <c r="E198" s="2">
        <v>20</v>
      </c>
      <c r="F198" s="2">
        <v>0</v>
      </c>
      <c r="G198" s="2">
        <v>0</v>
      </c>
      <c r="H198" s="2">
        <v>20</v>
      </c>
      <c r="I198" s="2">
        <v>0.5</v>
      </c>
      <c r="J198" s="2">
        <v>13</v>
      </c>
      <c r="K198" s="2" t="s">
        <v>89</v>
      </c>
      <c r="L198" s="4">
        <v>45894</v>
      </c>
      <c r="M198" s="2">
        <f t="shared" ref="M198:M204" si="2">ROUND((L198-$L$189)/30.5,2)</f>
        <v>0.1</v>
      </c>
      <c r="O198" s="12"/>
      <c r="Q198" s="2">
        <v>77559</v>
      </c>
      <c r="R198" s="2">
        <v>0.48</v>
      </c>
      <c r="S198" s="2">
        <v>98.55</v>
      </c>
      <c r="T198" s="2">
        <v>0.97</v>
      </c>
      <c r="U198" s="2">
        <v>1471749</v>
      </c>
    </row>
    <row r="199" spans="1:24" x14ac:dyDescent="0.25">
      <c r="A199" s="2" t="s">
        <v>190</v>
      </c>
      <c r="B199" s="2">
        <v>4.7</v>
      </c>
      <c r="C199" s="2">
        <v>6.1</v>
      </c>
      <c r="D199" s="2">
        <v>0</v>
      </c>
      <c r="E199" s="2">
        <v>95</v>
      </c>
      <c r="F199" s="2">
        <v>0</v>
      </c>
      <c r="G199" s="2">
        <v>0</v>
      </c>
      <c r="H199" s="2">
        <v>0</v>
      </c>
      <c r="I199" s="2">
        <v>0.5</v>
      </c>
      <c r="J199" s="2">
        <v>12</v>
      </c>
      <c r="K199" s="6" t="s">
        <v>90</v>
      </c>
      <c r="L199" s="4">
        <v>45894</v>
      </c>
      <c r="M199" s="2">
        <f t="shared" si="2"/>
        <v>0.1</v>
      </c>
      <c r="O199" s="12"/>
      <c r="Q199" s="2">
        <v>77564</v>
      </c>
      <c r="R199" s="2">
        <v>0.72</v>
      </c>
      <c r="S199" s="2">
        <v>98.15</v>
      </c>
      <c r="T199" s="2">
        <v>1.1299999999999999</v>
      </c>
      <c r="U199" s="2">
        <v>1447260</v>
      </c>
    </row>
    <row r="200" spans="1:24" x14ac:dyDescent="0.25">
      <c r="A200" s="2" t="s">
        <v>191</v>
      </c>
      <c r="B200" s="2">
        <v>4.7</v>
      </c>
      <c r="C200" s="2">
        <v>6.1</v>
      </c>
      <c r="D200" s="2">
        <v>0</v>
      </c>
      <c r="E200" s="2">
        <v>20</v>
      </c>
      <c r="F200" s="2">
        <v>0</v>
      </c>
      <c r="G200" s="2">
        <v>0</v>
      </c>
      <c r="H200" s="2">
        <v>20</v>
      </c>
      <c r="I200" s="2">
        <v>0.5</v>
      </c>
      <c r="J200" s="2">
        <v>13</v>
      </c>
      <c r="K200" s="6" t="s">
        <v>90</v>
      </c>
      <c r="L200" s="4">
        <v>45894</v>
      </c>
      <c r="M200" s="2">
        <f t="shared" si="2"/>
        <v>0.1</v>
      </c>
      <c r="O200" s="12"/>
      <c r="Q200" s="2">
        <v>77569</v>
      </c>
      <c r="R200" s="2">
        <v>0.9</v>
      </c>
      <c r="S200" s="2">
        <v>97.58</v>
      </c>
      <c r="T200" s="2">
        <v>1.52</v>
      </c>
      <c r="U200" s="2">
        <v>1443844</v>
      </c>
    </row>
    <row r="201" spans="1:24" s="25" customFormat="1" x14ac:dyDescent="0.25">
      <c r="A201" s="20" t="s">
        <v>138</v>
      </c>
      <c r="B201" s="20">
        <v>4.7</v>
      </c>
      <c r="C201" s="20">
        <v>6.1</v>
      </c>
      <c r="D201" s="20">
        <v>0</v>
      </c>
      <c r="E201" s="20">
        <v>95</v>
      </c>
      <c r="F201" s="20">
        <v>0</v>
      </c>
      <c r="G201" s="20">
        <v>0</v>
      </c>
      <c r="H201" s="20">
        <v>0</v>
      </c>
      <c r="I201" s="20">
        <v>0.5</v>
      </c>
      <c r="J201" s="20">
        <v>12</v>
      </c>
      <c r="K201" s="20" t="s">
        <v>89</v>
      </c>
      <c r="L201" s="22">
        <v>45897</v>
      </c>
      <c r="M201" s="20">
        <f t="shared" si="2"/>
        <v>0.2</v>
      </c>
      <c r="N201" s="20" t="s">
        <v>214</v>
      </c>
      <c r="O201" s="24">
        <v>0.99299999999999999</v>
      </c>
      <c r="P201" s="20"/>
      <c r="Q201" s="20"/>
      <c r="R201" s="20"/>
      <c r="S201" s="20"/>
      <c r="T201" s="20"/>
      <c r="U201" s="20"/>
      <c r="V201" s="20"/>
      <c r="W201" s="20"/>
      <c r="X201" s="20"/>
    </row>
    <row r="202" spans="1:24" x14ac:dyDescent="0.25">
      <c r="A202" s="2" t="s">
        <v>139</v>
      </c>
      <c r="B202" s="2">
        <v>4.7</v>
      </c>
      <c r="C202" s="2">
        <v>6.1</v>
      </c>
      <c r="D202" s="2">
        <v>0</v>
      </c>
      <c r="E202" s="2">
        <v>20</v>
      </c>
      <c r="F202" s="2">
        <v>0</v>
      </c>
      <c r="G202" s="2">
        <v>0</v>
      </c>
      <c r="H202" s="2">
        <v>20</v>
      </c>
      <c r="I202" s="2">
        <v>0.5</v>
      </c>
      <c r="J202" s="2">
        <v>13</v>
      </c>
      <c r="K202" s="2" t="s">
        <v>89</v>
      </c>
      <c r="L202" s="4">
        <v>45897</v>
      </c>
      <c r="M202" s="2">
        <f t="shared" si="2"/>
        <v>0.2</v>
      </c>
      <c r="N202" s="2" t="s">
        <v>214</v>
      </c>
      <c r="O202" s="12">
        <v>1.0169999999999999</v>
      </c>
    </row>
    <row r="203" spans="1:24" s="25" customFormat="1" x14ac:dyDescent="0.25">
      <c r="A203" s="20" t="s">
        <v>140</v>
      </c>
      <c r="B203" s="20">
        <v>4.7</v>
      </c>
      <c r="C203" s="20">
        <v>6.1</v>
      </c>
      <c r="D203" s="20">
        <v>0</v>
      </c>
      <c r="E203" s="20">
        <v>95</v>
      </c>
      <c r="F203" s="20">
        <v>0</v>
      </c>
      <c r="G203" s="20">
        <v>0</v>
      </c>
      <c r="H203" s="20">
        <v>0</v>
      </c>
      <c r="I203" s="20">
        <v>0.5</v>
      </c>
      <c r="J203" s="20">
        <v>12</v>
      </c>
      <c r="K203" s="26" t="s">
        <v>90</v>
      </c>
      <c r="L203" s="22">
        <v>45897</v>
      </c>
      <c r="M203" s="20">
        <f t="shared" si="2"/>
        <v>0.2</v>
      </c>
      <c r="N203" s="20" t="s">
        <v>214</v>
      </c>
      <c r="O203" s="24">
        <v>0.98699999999999999</v>
      </c>
      <c r="P203" s="20"/>
      <c r="Q203" s="20"/>
      <c r="R203" s="20"/>
      <c r="S203" s="20"/>
      <c r="T203" s="20"/>
      <c r="U203" s="20"/>
      <c r="V203" s="20"/>
      <c r="W203" s="20"/>
      <c r="X203" s="20"/>
    </row>
    <row r="204" spans="1:24" x14ac:dyDescent="0.25">
      <c r="A204" s="2" t="s">
        <v>141</v>
      </c>
      <c r="B204" s="2">
        <v>4.7</v>
      </c>
      <c r="C204" s="2">
        <v>6.1</v>
      </c>
      <c r="D204" s="2">
        <v>0</v>
      </c>
      <c r="E204" s="2">
        <v>20</v>
      </c>
      <c r="F204" s="2">
        <v>0</v>
      </c>
      <c r="G204" s="2">
        <v>0</v>
      </c>
      <c r="H204" s="2">
        <v>20</v>
      </c>
      <c r="I204" s="2">
        <v>0.5</v>
      </c>
      <c r="J204" s="2">
        <v>13</v>
      </c>
      <c r="K204" s="6" t="s">
        <v>90</v>
      </c>
      <c r="L204" s="4">
        <v>45897</v>
      </c>
      <c r="M204" s="2">
        <f t="shared" si="2"/>
        <v>0.2</v>
      </c>
      <c r="N204" s="2" t="s">
        <v>214</v>
      </c>
      <c r="O204" s="12">
        <v>0.92</v>
      </c>
    </row>
    <row r="205" spans="1:24" x14ac:dyDescent="0.25">
      <c r="A205" s="2" t="s">
        <v>142</v>
      </c>
      <c r="B205" s="2">
        <v>4.7</v>
      </c>
      <c r="C205" s="2">
        <v>6.1</v>
      </c>
      <c r="D205" s="2">
        <v>0</v>
      </c>
      <c r="E205" s="2">
        <v>95</v>
      </c>
      <c r="F205" s="2">
        <v>0</v>
      </c>
      <c r="G205" s="2">
        <v>0</v>
      </c>
      <c r="H205" s="2">
        <v>0</v>
      </c>
      <c r="I205" s="2">
        <v>0.5</v>
      </c>
      <c r="J205" s="2">
        <v>12</v>
      </c>
      <c r="K205" s="2" t="s">
        <v>89</v>
      </c>
      <c r="M205" s="2">
        <v>0.25</v>
      </c>
      <c r="O205" s="12"/>
    </row>
    <row r="206" spans="1:24" x14ac:dyDescent="0.25">
      <c r="A206" s="2" t="s">
        <v>143</v>
      </c>
      <c r="B206" s="2">
        <v>4.7</v>
      </c>
      <c r="C206" s="2">
        <v>6.1</v>
      </c>
      <c r="D206" s="2">
        <v>0</v>
      </c>
      <c r="E206" s="2">
        <v>20</v>
      </c>
      <c r="F206" s="2">
        <v>0</v>
      </c>
      <c r="G206" s="2">
        <v>0</v>
      </c>
      <c r="H206" s="2">
        <v>20</v>
      </c>
      <c r="I206" s="2">
        <v>0.5</v>
      </c>
      <c r="J206" s="2">
        <v>13</v>
      </c>
      <c r="K206" s="2" t="s">
        <v>89</v>
      </c>
      <c r="M206" s="2">
        <v>0.25</v>
      </c>
      <c r="O206" s="12"/>
    </row>
    <row r="207" spans="1:24" x14ac:dyDescent="0.25">
      <c r="A207" s="2" t="s">
        <v>144</v>
      </c>
      <c r="B207" s="2">
        <v>4.7</v>
      </c>
      <c r="C207" s="2">
        <v>6.1</v>
      </c>
      <c r="D207" s="2">
        <v>0</v>
      </c>
      <c r="E207" s="2">
        <v>95</v>
      </c>
      <c r="F207" s="2">
        <v>0</v>
      </c>
      <c r="G207" s="2">
        <v>0</v>
      </c>
      <c r="H207" s="2">
        <v>0</v>
      </c>
      <c r="I207" s="2">
        <v>0.5</v>
      </c>
      <c r="J207" s="2">
        <v>12</v>
      </c>
      <c r="K207" s="6" t="s">
        <v>90</v>
      </c>
      <c r="M207" s="2">
        <v>0.25</v>
      </c>
      <c r="O207" s="12"/>
    </row>
    <row r="208" spans="1:24" x14ac:dyDescent="0.25">
      <c r="A208" s="2" t="s">
        <v>145</v>
      </c>
      <c r="B208" s="2">
        <v>4.7</v>
      </c>
      <c r="C208" s="2">
        <v>6.1</v>
      </c>
      <c r="D208" s="2">
        <v>0</v>
      </c>
      <c r="E208" s="2">
        <v>20</v>
      </c>
      <c r="F208" s="2">
        <v>0</v>
      </c>
      <c r="G208" s="2">
        <v>0</v>
      </c>
      <c r="H208" s="2">
        <v>20</v>
      </c>
      <c r="I208" s="2">
        <v>0.5</v>
      </c>
      <c r="J208" s="2">
        <v>13</v>
      </c>
      <c r="K208" s="6" t="s">
        <v>90</v>
      </c>
      <c r="M208" s="2">
        <v>0.25</v>
      </c>
      <c r="O208" s="12"/>
    </row>
    <row r="209" spans="1:15" x14ac:dyDescent="0.25">
      <c r="A209" s="2" t="s">
        <v>146</v>
      </c>
      <c r="B209" s="2">
        <v>4.7</v>
      </c>
      <c r="C209" s="2">
        <v>6.1</v>
      </c>
      <c r="D209" s="2">
        <v>0</v>
      </c>
      <c r="E209" s="2">
        <v>95</v>
      </c>
      <c r="F209" s="2">
        <v>0</v>
      </c>
      <c r="G209" s="2">
        <v>0</v>
      </c>
      <c r="H209" s="2">
        <v>0</v>
      </c>
      <c r="I209" s="2">
        <v>0.5</v>
      </c>
      <c r="J209" s="2">
        <v>12</v>
      </c>
      <c r="K209" s="2" t="s">
        <v>89</v>
      </c>
      <c r="M209" s="2">
        <v>0.5</v>
      </c>
      <c r="O209" s="12"/>
    </row>
    <row r="210" spans="1:15" x14ac:dyDescent="0.25">
      <c r="A210" s="2" t="s">
        <v>147</v>
      </c>
      <c r="B210" s="2">
        <v>4.7</v>
      </c>
      <c r="C210" s="2">
        <v>6.1</v>
      </c>
      <c r="D210" s="2">
        <v>0</v>
      </c>
      <c r="E210" s="2">
        <v>20</v>
      </c>
      <c r="F210" s="2">
        <v>0</v>
      </c>
      <c r="G210" s="2">
        <v>0</v>
      </c>
      <c r="H210" s="2">
        <v>20</v>
      </c>
      <c r="I210" s="2">
        <v>0.5</v>
      </c>
      <c r="J210" s="2">
        <v>13</v>
      </c>
      <c r="K210" s="2" t="s">
        <v>89</v>
      </c>
      <c r="M210" s="2">
        <v>0.5</v>
      </c>
      <c r="O210" s="12"/>
    </row>
    <row r="211" spans="1:15" x14ac:dyDescent="0.25">
      <c r="A211" s="2" t="s">
        <v>148</v>
      </c>
      <c r="B211" s="2">
        <v>4.7</v>
      </c>
      <c r="C211" s="2">
        <v>6.1</v>
      </c>
      <c r="D211" s="2">
        <v>0</v>
      </c>
      <c r="E211" s="2">
        <v>95</v>
      </c>
      <c r="F211" s="2">
        <v>0</v>
      </c>
      <c r="G211" s="2">
        <v>0</v>
      </c>
      <c r="H211" s="2">
        <v>0</v>
      </c>
      <c r="I211" s="2">
        <v>0.5</v>
      </c>
      <c r="J211" s="2">
        <v>12</v>
      </c>
      <c r="K211" s="2" t="s">
        <v>91</v>
      </c>
      <c r="M211" s="2" t="s">
        <v>92</v>
      </c>
      <c r="O211" s="12"/>
    </row>
    <row r="212" spans="1:15" x14ac:dyDescent="0.25">
      <c r="A212" s="2" t="s">
        <v>149</v>
      </c>
      <c r="B212" s="2">
        <v>4.7</v>
      </c>
      <c r="C212" s="2">
        <v>6.1</v>
      </c>
      <c r="D212" s="2">
        <v>0</v>
      </c>
      <c r="E212" s="2">
        <v>20</v>
      </c>
      <c r="F212" s="2">
        <v>0</v>
      </c>
      <c r="G212" s="2">
        <v>0</v>
      </c>
      <c r="H212" s="2">
        <v>20</v>
      </c>
      <c r="I212" s="2">
        <v>0.5</v>
      </c>
      <c r="J212" s="2">
        <v>13</v>
      </c>
      <c r="K212" s="2" t="s">
        <v>91</v>
      </c>
      <c r="M212" s="2" t="s">
        <v>92</v>
      </c>
      <c r="O212" s="12"/>
    </row>
    <row r="213" spans="1:15" x14ac:dyDescent="0.25">
      <c r="A213" s="2" t="s">
        <v>150</v>
      </c>
      <c r="B213" s="2">
        <v>4.7</v>
      </c>
      <c r="C213" s="2">
        <v>6.1</v>
      </c>
      <c r="D213" s="2">
        <v>0</v>
      </c>
      <c r="E213" s="2">
        <v>95</v>
      </c>
      <c r="F213" s="2">
        <v>0</v>
      </c>
      <c r="G213" s="2">
        <v>0</v>
      </c>
      <c r="H213" s="2">
        <v>0</v>
      </c>
      <c r="I213" s="2">
        <v>0.5</v>
      </c>
      <c r="J213" s="2">
        <v>12</v>
      </c>
      <c r="K213" s="2" t="s">
        <v>88</v>
      </c>
      <c r="M213" s="2">
        <v>1</v>
      </c>
      <c r="O213" s="12"/>
    </row>
    <row r="214" spans="1:15" x14ac:dyDescent="0.25">
      <c r="A214" s="2" t="s">
        <v>151</v>
      </c>
      <c r="B214" s="2">
        <v>4.7</v>
      </c>
      <c r="C214" s="2">
        <v>6.1</v>
      </c>
      <c r="D214" s="2">
        <v>0</v>
      </c>
      <c r="E214" s="2">
        <v>20</v>
      </c>
      <c r="F214" s="2">
        <v>0</v>
      </c>
      <c r="G214" s="2">
        <v>0</v>
      </c>
      <c r="H214" s="2">
        <v>20</v>
      </c>
      <c r="I214" s="2">
        <v>0.5</v>
      </c>
      <c r="J214" s="2">
        <v>13</v>
      </c>
      <c r="K214" s="2" t="s">
        <v>88</v>
      </c>
      <c r="M214" s="2">
        <v>1</v>
      </c>
      <c r="O214" s="12"/>
    </row>
    <row r="215" spans="1:15" x14ac:dyDescent="0.25">
      <c r="A215" s="2" t="s">
        <v>152</v>
      </c>
      <c r="B215" s="2">
        <v>4.7</v>
      </c>
      <c r="C215" s="2">
        <v>6.1</v>
      </c>
      <c r="D215" s="2">
        <v>0</v>
      </c>
      <c r="E215" s="2">
        <v>95</v>
      </c>
      <c r="F215" s="2">
        <v>0</v>
      </c>
      <c r="G215" s="2">
        <v>0</v>
      </c>
      <c r="H215" s="2">
        <v>0</v>
      </c>
      <c r="I215" s="2">
        <v>0.5</v>
      </c>
      <c r="J215" s="2">
        <v>12</v>
      </c>
      <c r="K215" s="2" t="s">
        <v>88</v>
      </c>
      <c r="M215" s="2">
        <v>3</v>
      </c>
      <c r="O215" s="12"/>
    </row>
    <row r="216" spans="1:15" x14ac:dyDescent="0.25">
      <c r="A216" s="2" t="s">
        <v>153</v>
      </c>
      <c r="B216" s="2">
        <v>4.7</v>
      </c>
      <c r="C216" s="2">
        <v>6.1</v>
      </c>
      <c r="D216" s="2">
        <v>0</v>
      </c>
      <c r="E216" s="2">
        <v>20</v>
      </c>
      <c r="F216" s="2">
        <v>0</v>
      </c>
      <c r="G216" s="2">
        <v>0</v>
      </c>
      <c r="H216" s="2">
        <v>20</v>
      </c>
      <c r="I216" s="2">
        <v>0.5</v>
      </c>
      <c r="J216" s="2">
        <v>13</v>
      </c>
      <c r="K216" s="2" t="s">
        <v>88</v>
      </c>
      <c r="M216" s="2">
        <v>3</v>
      </c>
      <c r="O216" s="12"/>
    </row>
    <row r="217" spans="1:15" x14ac:dyDescent="0.25">
      <c r="A217" s="2" t="s">
        <v>154</v>
      </c>
      <c r="B217" s="2">
        <v>4.7</v>
      </c>
      <c r="C217" s="2">
        <v>6.1</v>
      </c>
      <c r="D217" s="2">
        <v>0</v>
      </c>
      <c r="E217" s="2">
        <v>95</v>
      </c>
      <c r="F217" s="2">
        <v>0</v>
      </c>
      <c r="G217" s="2">
        <v>0</v>
      </c>
      <c r="H217" s="2">
        <v>0</v>
      </c>
      <c r="I217" s="2">
        <v>0.5</v>
      </c>
      <c r="J217" s="2">
        <v>12</v>
      </c>
      <c r="K217" s="2" t="s">
        <v>88</v>
      </c>
      <c r="M217" s="2">
        <v>6</v>
      </c>
      <c r="O217" s="12"/>
    </row>
    <row r="218" spans="1:15" x14ac:dyDescent="0.25">
      <c r="A218" s="2" t="s">
        <v>155</v>
      </c>
      <c r="B218" s="2">
        <v>4.7</v>
      </c>
      <c r="C218" s="2">
        <v>6.1</v>
      </c>
      <c r="D218" s="2">
        <v>0</v>
      </c>
      <c r="E218" s="2">
        <v>20</v>
      </c>
      <c r="F218" s="2">
        <v>0</v>
      </c>
      <c r="G218" s="2">
        <v>0</v>
      </c>
      <c r="H218" s="2">
        <v>20</v>
      </c>
      <c r="I218" s="2">
        <v>0.5</v>
      </c>
      <c r="J218" s="2">
        <v>13</v>
      </c>
      <c r="K218" s="2" t="s">
        <v>88</v>
      </c>
      <c r="M218" s="2">
        <v>6</v>
      </c>
      <c r="O218" s="1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7567-F402-4C95-8E42-AF72CA4B7269}">
  <dimension ref="A2:AC18"/>
  <sheetViews>
    <sheetView topLeftCell="A2" zoomScale="89" workbookViewId="0">
      <selection activeCell="A14" sqref="A14:XFD14"/>
    </sheetView>
  </sheetViews>
  <sheetFormatPr defaultRowHeight="15" x14ac:dyDescent="0.25"/>
  <cols>
    <col min="1" max="8" width="8.7109375"/>
    <col min="9" max="9" width="12.42578125" bestFit="1" customWidth="1"/>
    <col min="10" max="10" width="15.5703125" bestFit="1" customWidth="1"/>
    <col min="11" max="14" width="5.85546875" bestFit="1" customWidth="1"/>
    <col min="15" max="15" width="4.85546875" bestFit="1" customWidth="1"/>
    <col min="16" max="16" width="3.85546875" bestFit="1" customWidth="1"/>
    <col min="17" max="22" width="8.7109375" style="2"/>
  </cols>
  <sheetData>
    <row r="2" spans="1:29" x14ac:dyDescent="0.25">
      <c r="I2" s="9" t="s">
        <v>85</v>
      </c>
      <c r="J2" t="s">
        <v>157</v>
      </c>
    </row>
    <row r="4" spans="1:29" x14ac:dyDescent="0.25">
      <c r="I4" s="9" t="s">
        <v>184</v>
      </c>
      <c r="J4" s="9" t="s">
        <v>183</v>
      </c>
      <c r="T4" s="27" t="s">
        <v>185</v>
      </c>
      <c r="U4" s="27"/>
      <c r="V4" s="27"/>
      <c r="W4" s="27" t="s">
        <v>186</v>
      </c>
      <c r="X4" s="27"/>
      <c r="Y4" s="27"/>
    </row>
    <row r="5" spans="1:29" ht="45" x14ac:dyDescent="0.25">
      <c r="A5" s="1" t="s">
        <v>78</v>
      </c>
      <c r="B5" s="1" t="s">
        <v>73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156</v>
      </c>
      <c r="H5" s="1" t="s">
        <v>83</v>
      </c>
      <c r="I5" s="9" t="s">
        <v>182</v>
      </c>
      <c r="J5">
        <v>0</v>
      </c>
      <c r="K5">
        <v>7.0000000000000007E-2</v>
      </c>
      <c r="L5">
        <v>0.1</v>
      </c>
      <c r="M5">
        <v>0.16</v>
      </c>
      <c r="N5">
        <v>0.2</v>
      </c>
      <c r="T5" s="11" t="s">
        <v>74</v>
      </c>
      <c r="U5" s="11" t="s">
        <v>75</v>
      </c>
      <c r="V5" s="11" t="s">
        <v>76</v>
      </c>
      <c r="W5" s="11" t="s">
        <v>74</v>
      </c>
      <c r="X5" s="11" t="s">
        <v>75</v>
      </c>
      <c r="Y5" s="11" t="s">
        <v>76</v>
      </c>
    </row>
    <row r="6" spans="1:29" x14ac:dyDescent="0.25">
      <c r="A6" s="15">
        <v>4.7</v>
      </c>
      <c r="B6" s="15">
        <v>6.1</v>
      </c>
      <c r="C6" s="15">
        <v>0</v>
      </c>
      <c r="D6" s="15">
        <v>20</v>
      </c>
      <c r="E6" s="15">
        <v>0</v>
      </c>
      <c r="F6" s="15">
        <v>0</v>
      </c>
      <c r="G6" s="15">
        <v>0</v>
      </c>
      <c r="H6" s="15">
        <v>0.09</v>
      </c>
      <c r="I6" s="10">
        <v>1</v>
      </c>
      <c r="J6">
        <v>98.55</v>
      </c>
      <c r="L6">
        <v>98.23</v>
      </c>
      <c r="N6">
        <v>98.31</v>
      </c>
      <c r="T6" s="7">
        <v>1.5499999999999994</v>
      </c>
      <c r="U6" s="7">
        <v>-4.1499999999999915</v>
      </c>
      <c r="V6" s="7">
        <v>2.5999999999999992</v>
      </c>
      <c r="W6" s="8">
        <v>0.19999999999999962</v>
      </c>
      <c r="X6" s="8">
        <v>-1.1999999999999742</v>
      </c>
      <c r="Y6" s="8">
        <v>1.0000000000000004</v>
      </c>
      <c r="Z6" s="7">
        <v>59.873512268066406</v>
      </c>
      <c r="AA6" s="7">
        <v>62.944774627685547</v>
      </c>
      <c r="AB6" s="8">
        <v>-1.1999999999999742</v>
      </c>
      <c r="AC6" s="7">
        <v>-4.1499999999999915</v>
      </c>
    </row>
    <row r="7" spans="1:29" x14ac:dyDescent="0.25">
      <c r="A7" s="13">
        <v>4.7</v>
      </c>
      <c r="B7" s="13">
        <v>6.1</v>
      </c>
      <c r="C7" s="13">
        <v>0</v>
      </c>
      <c r="D7" s="13">
        <v>95</v>
      </c>
      <c r="E7" s="13">
        <v>0</v>
      </c>
      <c r="F7" s="13">
        <v>0</v>
      </c>
      <c r="G7" s="13">
        <v>0</v>
      </c>
      <c r="H7" s="13">
        <v>0.09</v>
      </c>
      <c r="I7" s="10">
        <v>2</v>
      </c>
      <c r="J7">
        <v>98.57</v>
      </c>
      <c r="L7">
        <v>98.51</v>
      </c>
      <c r="N7">
        <v>98.35</v>
      </c>
      <c r="T7" s="7">
        <v>1.5999999999999996</v>
      </c>
      <c r="U7" s="7">
        <v>-3.8999999999999346</v>
      </c>
      <c r="V7" s="7">
        <v>2.2999999999999994</v>
      </c>
      <c r="W7" s="8">
        <v>0.55000000000000016</v>
      </c>
      <c r="X7" s="8">
        <v>-1.0999999999999941</v>
      </c>
      <c r="Y7" s="8">
        <v>0.55000000000000038</v>
      </c>
      <c r="Z7" s="7">
        <v>60.677810668945313</v>
      </c>
      <c r="AA7" s="7">
        <v>50.899547576904297</v>
      </c>
      <c r="AB7" s="8">
        <v>-1.0999999999999941</v>
      </c>
      <c r="AC7" s="7">
        <v>-3.8999999999999346</v>
      </c>
    </row>
    <row r="8" spans="1:29" x14ac:dyDescent="0.25">
      <c r="A8" s="2">
        <v>4.7</v>
      </c>
      <c r="B8" s="2">
        <v>6.1</v>
      </c>
      <c r="C8" s="2">
        <v>0</v>
      </c>
      <c r="D8" s="2">
        <v>10</v>
      </c>
      <c r="E8" s="3">
        <v>50</v>
      </c>
      <c r="F8" s="3">
        <v>0</v>
      </c>
      <c r="G8" s="2">
        <v>0</v>
      </c>
      <c r="H8" s="2">
        <v>0.09</v>
      </c>
      <c r="I8" s="10">
        <v>3</v>
      </c>
      <c r="J8">
        <v>98.41</v>
      </c>
      <c r="L8">
        <v>98.07</v>
      </c>
      <c r="N8">
        <v>98.2</v>
      </c>
      <c r="T8" s="7">
        <v>2.4499999999999997</v>
      </c>
      <c r="U8" s="7">
        <v>-4.6999999999999877</v>
      </c>
      <c r="V8" s="7">
        <v>2.2999999999999994</v>
      </c>
      <c r="W8" s="8">
        <v>0.90000000000000013</v>
      </c>
      <c r="X8" s="8">
        <v>-1.0499999999999687</v>
      </c>
      <c r="Y8" s="8">
        <v>0.19999999999999907</v>
      </c>
      <c r="Z8" s="7">
        <v>60.654537200927734</v>
      </c>
      <c r="AA8" s="7">
        <v>56.935665130615234</v>
      </c>
      <c r="AB8" s="8">
        <v>-4.419689119170978</v>
      </c>
      <c r="AC8" s="7">
        <v>-6.2927461139896499</v>
      </c>
    </row>
    <row r="9" spans="1:29" x14ac:dyDescent="0.25">
      <c r="A9" s="2">
        <v>4.7</v>
      </c>
      <c r="B9" s="2">
        <v>6.1</v>
      </c>
      <c r="C9" s="2">
        <v>0</v>
      </c>
      <c r="D9" s="2">
        <v>10</v>
      </c>
      <c r="E9" s="3">
        <v>0</v>
      </c>
      <c r="F9" s="3">
        <v>90</v>
      </c>
      <c r="G9" s="2">
        <v>0</v>
      </c>
      <c r="H9" s="2">
        <v>0.09</v>
      </c>
      <c r="I9" s="10">
        <v>4</v>
      </c>
      <c r="J9">
        <v>98.63</v>
      </c>
      <c r="L9">
        <v>98.29</v>
      </c>
      <c r="N9">
        <v>98.31</v>
      </c>
      <c r="T9" s="7">
        <v>1.6999999999999997</v>
      </c>
      <c r="U9" s="7">
        <v>-4.7499999999999423</v>
      </c>
      <c r="V9" s="7">
        <v>3.0499999999999994</v>
      </c>
      <c r="W9" s="8">
        <v>0.59999999999999987</v>
      </c>
      <c r="X9" s="8">
        <v>-1.5999999999999657</v>
      </c>
      <c r="Y9" s="8">
        <v>1.0000000000000002</v>
      </c>
      <c r="Z9" s="7">
        <v>61.006732940673828</v>
      </c>
      <c r="AA9" s="7">
        <v>56.256198883056641</v>
      </c>
      <c r="AB9" s="8">
        <v>4.4041450777231983E-2</v>
      </c>
      <c r="AC9" s="7">
        <v>-3.92487046632119</v>
      </c>
    </row>
    <row r="10" spans="1:29" x14ac:dyDescent="0.25">
      <c r="A10" s="16">
        <v>4.7</v>
      </c>
      <c r="B10" s="16">
        <v>6.1</v>
      </c>
      <c r="C10" s="16">
        <v>20</v>
      </c>
      <c r="D10" s="16">
        <v>45</v>
      </c>
      <c r="E10" s="17">
        <v>0</v>
      </c>
      <c r="F10" s="17">
        <v>0</v>
      </c>
      <c r="G10" s="16">
        <v>0</v>
      </c>
      <c r="H10" s="16">
        <v>0.09</v>
      </c>
      <c r="I10" s="10">
        <v>5</v>
      </c>
      <c r="J10">
        <v>97.8</v>
      </c>
      <c r="L10">
        <v>97.67</v>
      </c>
      <c r="N10">
        <v>97.49</v>
      </c>
      <c r="T10" s="7">
        <v>7.3</v>
      </c>
      <c r="U10" s="7">
        <v>-9.2000000000000153</v>
      </c>
      <c r="V10" s="7">
        <v>1.9</v>
      </c>
      <c r="W10" s="8">
        <v>1.2999999999999987</v>
      </c>
      <c r="X10" s="8">
        <v>-1.5500000000000111</v>
      </c>
      <c r="Y10" s="8">
        <v>0.20000000000000015</v>
      </c>
      <c r="Z10" s="7">
        <v>57.715007781982422</v>
      </c>
      <c r="AA10" s="7">
        <v>54.348690032958984</v>
      </c>
      <c r="AB10" s="8">
        <v>-1.5500000000000111</v>
      </c>
      <c r="AC10" s="7">
        <v>-9.2000000000000153</v>
      </c>
    </row>
    <row r="11" spans="1:29" x14ac:dyDescent="0.25">
      <c r="A11" s="2">
        <v>4.7</v>
      </c>
      <c r="B11" s="2">
        <v>6.1</v>
      </c>
      <c r="C11" s="2">
        <v>10</v>
      </c>
      <c r="D11" s="2">
        <v>10</v>
      </c>
      <c r="E11" s="3">
        <v>35</v>
      </c>
      <c r="F11" s="3">
        <v>0</v>
      </c>
      <c r="G11" s="2">
        <v>0</v>
      </c>
      <c r="H11" s="2">
        <v>0.09</v>
      </c>
      <c r="I11" s="10">
        <v>6</v>
      </c>
      <c r="J11">
        <v>97.59</v>
      </c>
      <c r="L11">
        <v>97.72</v>
      </c>
      <c r="N11">
        <v>97.65</v>
      </c>
      <c r="T11" s="7">
        <v>7.1</v>
      </c>
      <c r="U11" s="7">
        <v>-8.1500000000000465</v>
      </c>
      <c r="V11" s="7">
        <v>0.99999999999999967</v>
      </c>
      <c r="W11" s="8">
        <v>0.4000000000000003</v>
      </c>
      <c r="X11" s="8">
        <v>0.30000000000001137</v>
      </c>
      <c r="Y11" s="8">
        <v>-0.75</v>
      </c>
      <c r="Z11" s="7">
        <v>59.050693511962891</v>
      </c>
      <c r="AA11" s="7">
        <v>54.836231231689453</v>
      </c>
      <c r="AB11" s="8">
        <v>-1.5906735751295633</v>
      </c>
      <c r="AC11" s="7">
        <v>-11.391191709844565</v>
      </c>
    </row>
    <row r="12" spans="1:29" x14ac:dyDescent="0.25">
      <c r="A12" s="2">
        <v>4.7</v>
      </c>
      <c r="B12" s="2">
        <v>6.1</v>
      </c>
      <c r="C12" s="2">
        <v>20</v>
      </c>
      <c r="D12" s="2">
        <v>10</v>
      </c>
      <c r="E12" s="3">
        <v>0</v>
      </c>
      <c r="F12" s="3">
        <v>40</v>
      </c>
      <c r="G12" s="2">
        <v>0</v>
      </c>
      <c r="H12" s="2">
        <v>0.09</v>
      </c>
      <c r="I12" s="10">
        <v>7</v>
      </c>
      <c r="J12">
        <v>97.6</v>
      </c>
      <c r="L12">
        <v>97.58</v>
      </c>
      <c r="N12">
        <v>97.44</v>
      </c>
      <c r="T12" s="7">
        <v>7.1000000000000005</v>
      </c>
      <c r="U12" s="7">
        <v>-8.2000000000000028</v>
      </c>
      <c r="V12" s="7">
        <v>1.0999999999999996</v>
      </c>
      <c r="W12" s="8">
        <v>1.1999999999999997</v>
      </c>
      <c r="X12" s="8">
        <v>-0.79999999999998284</v>
      </c>
      <c r="Y12" s="8">
        <v>-0.39999999999999974</v>
      </c>
      <c r="Z12" s="7">
        <v>58.027717590332031</v>
      </c>
      <c r="AA12" s="7">
        <v>54.807151794433594</v>
      </c>
      <c r="AB12" s="8">
        <v>-2.1113989637305344</v>
      </c>
      <c r="AC12" s="7">
        <v>-11.158031088082863</v>
      </c>
    </row>
    <row r="13" spans="1:29" x14ac:dyDescent="0.25">
      <c r="A13" s="14">
        <v>4.7</v>
      </c>
      <c r="B13" s="14">
        <v>6.1</v>
      </c>
      <c r="C13" s="14">
        <v>0</v>
      </c>
      <c r="D13" s="14">
        <v>20</v>
      </c>
      <c r="E13" s="14">
        <v>40</v>
      </c>
      <c r="F13" s="14">
        <v>0</v>
      </c>
      <c r="G13" s="13">
        <v>0</v>
      </c>
      <c r="H13" s="14">
        <v>0.09</v>
      </c>
      <c r="I13" s="10">
        <v>8</v>
      </c>
      <c r="J13">
        <v>98.63</v>
      </c>
      <c r="K13">
        <v>98.16</v>
      </c>
      <c r="M13">
        <v>97.91</v>
      </c>
      <c r="T13" s="7">
        <v>2.1994818652849744</v>
      </c>
      <c r="U13" s="7">
        <v>-6.2927461139896499</v>
      </c>
      <c r="V13" s="7">
        <v>4.152849740932643</v>
      </c>
      <c r="W13" s="8">
        <v>3.2383419689119175</v>
      </c>
      <c r="X13" s="8">
        <v>-4.419689119170978</v>
      </c>
      <c r="Y13" s="8">
        <v>1.2409326424870464</v>
      </c>
      <c r="Z13" s="2">
        <v>60.59</v>
      </c>
      <c r="AA13" s="2">
        <v>60.6</v>
      </c>
      <c r="AB13" s="8">
        <v>0.39999999999992042</v>
      </c>
      <c r="AC13" s="7">
        <v>-2.8000000000000109</v>
      </c>
    </row>
    <row r="14" spans="1:29" x14ac:dyDescent="0.25">
      <c r="A14" s="14">
        <v>4.7</v>
      </c>
      <c r="B14" s="14">
        <v>6.1</v>
      </c>
      <c r="C14" s="14">
        <v>0</v>
      </c>
      <c r="D14" s="14">
        <v>20</v>
      </c>
      <c r="E14" s="14">
        <v>0</v>
      </c>
      <c r="F14" s="14">
        <v>80</v>
      </c>
      <c r="G14" s="13">
        <v>0</v>
      </c>
      <c r="H14" s="14">
        <v>0.09</v>
      </c>
      <c r="I14" s="10">
        <v>9</v>
      </c>
      <c r="J14">
        <v>98.41</v>
      </c>
      <c r="K14">
        <v>98.45</v>
      </c>
      <c r="M14">
        <v>98.42</v>
      </c>
      <c r="T14" s="7">
        <v>1.8911917098445594</v>
      </c>
      <c r="U14" s="7">
        <v>-3.92487046632119</v>
      </c>
      <c r="V14" s="7">
        <v>1.9689119170984462</v>
      </c>
      <c r="W14" s="8">
        <v>0.74611398963730535</v>
      </c>
      <c r="X14" s="8">
        <v>4.4041450777231983E-2</v>
      </c>
      <c r="Y14" s="8">
        <v>-0.73056994818652787</v>
      </c>
      <c r="Z14" s="2">
        <v>60.91</v>
      </c>
      <c r="AA14" s="2">
        <v>57.1</v>
      </c>
      <c r="AB14" s="8">
        <v>0</v>
      </c>
      <c r="AC14" s="7">
        <v>-9.6999999999999869</v>
      </c>
    </row>
    <row r="15" spans="1:29" x14ac:dyDescent="0.25">
      <c r="A15" s="17">
        <v>4.7</v>
      </c>
      <c r="B15" s="17">
        <v>6.1</v>
      </c>
      <c r="C15" s="17">
        <v>10</v>
      </c>
      <c r="D15" s="17">
        <v>20</v>
      </c>
      <c r="E15" s="17">
        <v>30</v>
      </c>
      <c r="F15" s="17">
        <v>0</v>
      </c>
      <c r="G15" s="16">
        <v>0</v>
      </c>
      <c r="H15" s="17">
        <v>0.09</v>
      </c>
      <c r="I15" s="10">
        <v>10</v>
      </c>
      <c r="J15">
        <v>97.56</v>
      </c>
      <c r="K15">
        <v>97.38</v>
      </c>
      <c r="M15">
        <v>97.3</v>
      </c>
      <c r="T15" s="7">
        <v>9.5569948186528499</v>
      </c>
      <c r="U15" s="7">
        <v>-11.391191709844565</v>
      </c>
      <c r="V15" s="7">
        <v>1.7746113989637298</v>
      </c>
      <c r="W15" s="8">
        <v>1.1139896373056992</v>
      </c>
      <c r="X15" s="8">
        <v>-1.5906735751295633</v>
      </c>
      <c r="Y15" s="8">
        <v>0.42227979274611438</v>
      </c>
      <c r="Z15" s="2">
        <v>58.86</v>
      </c>
      <c r="AA15" s="2">
        <v>54.74</v>
      </c>
    </row>
    <row r="16" spans="1:29" x14ac:dyDescent="0.25">
      <c r="A16" s="17">
        <v>4.7</v>
      </c>
      <c r="B16" s="17">
        <v>6.1</v>
      </c>
      <c r="C16" s="17">
        <v>20</v>
      </c>
      <c r="D16" s="17">
        <v>20</v>
      </c>
      <c r="E16" s="17">
        <v>0</v>
      </c>
      <c r="F16" s="17">
        <v>30</v>
      </c>
      <c r="G16" s="16">
        <v>0</v>
      </c>
      <c r="H16" s="17">
        <v>0.09</v>
      </c>
      <c r="I16" s="10">
        <v>11</v>
      </c>
      <c r="J16">
        <v>97.47</v>
      </c>
      <c r="K16">
        <v>97.17</v>
      </c>
      <c r="M16">
        <v>97.12</v>
      </c>
      <c r="T16" s="7">
        <v>9.4922279792746114</v>
      </c>
      <c r="U16" s="7">
        <v>-11.158031088082863</v>
      </c>
      <c r="V16" s="7">
        <v>1.6062176165803104</v>
      </c>
      <c r="W16" s="8">
        <v>1.4870466321243523</v>
      </c>
      <c r="X16" s="8">
        <v>-2.1113989637305344</v>
      </c>
      <c r="Y16" s="8">
        <v>0.56476683937823813</v>
      </c>
      <c r="Z16" s="2">
        <v>58</v>
      </c>
      <c r="AA16" s="2">
        <v>53.79</v>
      </c>
    </row>
    <row r="17" spans="1:27" x14ac:dyDescent="0.25">
      <c r="A17" s="18">
        <v>4.7</v>
      </c>
      <c r="B17" s="18">
        <v>6.1</v>
      </c>
      <c r="C17" s="18">
        <v>0</v>
      </c>
      <c r="D17" s="18">
        <v>95</v>
      </c>
      <c r="E17" s="18">
        <v>0</v>
      </c>
      <c r="F17" s="18">
        <v>0</v>
      </c>
      <c r="G17" s="18">
        <v>0</v>
      </c>
      <c r="H17" s="18">
        <v>0.5</v>
      </c>
      <c r="I17" s="10">
        <v>12</v>
      </c>
      <c r="J17">
        <v>98.43</v>
      </c>
      <c r="L17">
        <v>98.47</v>
      </c>
      <c r="T17" s="7">
        <v>2.9999999999999991</v>
      </c>
      <c r="U17" s="7">
        <v>-2.8000000000000109</v>
      </c>
      <c r="V17" s="7">
        <v>-0.20000000000000015</v>
      </c>
      <c r="W17" s="8">
        <v>1.2000000000000004</v>
      </c>
      <c r="X17" s="8">
        <v>0.39999999999992042</v>
      </c>
      <c r="Y17" s="8">
        <v>-1.599999999999999</v>
      </c>
      <c r="Z17" s="7">
        <v>60.7471923828125</v>
      </c>
      <c r="AA17" s="2">
        <v>55.83</v>
      </c>
    </row>
    <row r="18" spans="1:27" x14ac:dyDescent="0.25">
      <c r="A18" s="18">
        <v>4.7</v>
      </c>
      <c r="B18" s="18">
        <v>6.1</v>
      </c>
      <c r="C18" s="18">
        <v>0</v>
      </c>
      <c r="D18" s="18">
        <v>20</v>
      </c>
      <c r="E18" s="18">
        <v>0</v>
      </c>
      <c r="F18" s="18">
        <v>0</v>
      </c>
      <c r="G18" s="19">
        <v>20</v>
      </c>
      <c r="H18" s="18">
        <v>0.5</v>
      </c>
      <c r="I18" s="10">
        <v>13</v>
      </c>
      <c r="J18">
        <v>98.55</v>
      </c>
      <c r="L18">
        <v>98.55</v>
      </c>
      <c r="T18" s="7">
        <v>3.8</v>
      </c>
      <c r="U18" s="7">
        <v>-9.6999999999999869</v>
      </c>
      <c r="V18" s="7">
        <v>5.8999999999999986</v>
      </c>
      <c r="W18" s="8">
        <v>-0.4000000000000003</v>
      </c>
      <c r="X18" s="8">
        <v>0</v>
      </c>
      <c r="Y18" s="8">
        <v>0.39999999999999925</v>
      </c>
      <c r="Z18" s="7">
        <v>60.810604095458984</v>
      </c>
      <c r="AA18" s="2">
        <v>57.96</v>
      </c>
    </row>
  </sheetData>
  <mergeCells count="2">
    <mergeCell ref="T4:V4"/>
    <mergeCell ref="W4:Y4"/>
  </mergeCells>
  <conditionalFormatting sqref="T6:T1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:U1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:V1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6:W1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:X1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:Y1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A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:AB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:AC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Grun</dc:creator>
  <cp:lastModifiedBy>Christopher Dallarosa</cp:lastModifiedBy>
  <dcterms:created xsi:type="dcterms:W3CDTF">2025-08-19T20:55:32Z</dcterms:created>
  <dcterms:modified xsi:type="dcterms:W3CDTF">2025-08-28T19:21:45Z</dcterms:modified>
</cp:coreProperties>
</file>