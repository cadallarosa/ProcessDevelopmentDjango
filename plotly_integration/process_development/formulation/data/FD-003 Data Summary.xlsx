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ystimmuneinc-my.sharepoint.com/personal/molly_grun_systimmune_com/Documents/Microsoft Teams Chat Files/"/>
    </mc:Choice>
  </mc:AlternateContent>
  <xr:revisionPtr revIDLastSave="770" documentId="8_{527C7834-DEA9-49BF-9820-CEC3B2A48859}" xr6:coauthVersionLast="47" xr6:coauthVersionMax="47" xr10:uidLastSave="{3CCBB7D1-6AFD-4539-8CF9-D2E474826B69}"/>
  <bookViews>
    <workbookView xWindow="28680" yWindow="-120" windowWidth="29040" windowHeight="15720" tabRatio="736" activeTab="1" xr2:uid="{4A2C8800-4E3F-458C-B011-D14DCA363390}"/>
  </bookViews>
  <sheets>
    <sheet name="Data Table" sheetId="1" r:id="rId1"/>
    <sheet name="SEC HMW - 40C" sheetId="3" r:id="rId2"/>
    <sheet name="SEC Main - 40C" sheetId="12" r:id="rId3"/>
    <sheet name="SEC LMW - 40C" sheetId="13" r:id="rId4"/>
    <sheet name="SEC HMW - 25C" sheetId="14" r:id="rId5"/>
    <sheet name="SEC Main - 25C" sheetId="15" r:id="rId6"/>
    <sheet name="SEC LMW - 25C" sheetId="16" r:id="rId7"/>
    <sheet name="SEC HMW - FT" sheetId="9" r:id="rId8"/>
    <sheet name="SEC Main - FT" sheetId="10" r:id="rId9"/>
    <sheet name="SEC LMW - FT" sheetId="11" r:id="rId10"/>
  </sheets>
  <calcPr calcId="191028"/>
  <pivotCaches>
    <pivotCache cacheId="5498" r:id="rId11"/>
    <pivotCache cacheId="549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5" l="1"/>
  <c r="K5" i="14"/>
  <c r="H48" i="1" l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47" i="1"/>
  <c r="K5" i="3" l="1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5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5" i="9"/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</calcChain>
</file>

<file path=xl/sharedStrings.xml><?xml version="1.0" encoding="utf-8"?>
<sst xmlns="http://schemas.openxmlformats.org/spreadsheetml/2006/main" count="832" uniqueCount="162">
  <si>
    <t>Sample Number</t>
  </si>
  <si>
    <t>Buffer</t>
  </si>
  <si>
    <t>pH</t>
  </si>
  <si>
    <t>Excipients</t>
  </si>
  <si>
    <t>Formulation</t>
  </si>
  <si>
    <t>Condition</t>
  </si>
  <si>
    <t>Pull Day</t>
  </si>
  <si>
    <t>Time Point (months)</t>
  </si>
  <si>
    <t>Appearance</t>
  </si>
  <si>
    <t>Concentration (mg/mL)</t>
  </si>
  <si>
    <t>Result ID</t>
  </si>
  <si>
    <t>HMW</t>
  </si>
  <si>
    <t>Main</t>
  </si>
  <si>
    <t>LMW</t>
  </si>
  <si>
    <t>Total Area</t>
  </si>
  <si>
    <t>Osmolality (mOsm/kg)</t>
  </si>
  <si>
    <r>
      <t>Tm (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Aptos Narrow"/>
        <family val="2"/>
        <scheme val="minor"/>
      </rPr>
      <t>C)</t>
    </r>
  </si>
  <si>
    <t>Scattering Onset</t>
  </si>
  <si>
    <t>FD-003-001</t>
  </si>
  <si>
    <t>Phosphate</t>
  </si>
  <si>
    <t>None</t>
  </si>
  <si>
    <t>25 °C</t>
  </si>
  <si>
    <t xml:space="preserve"> Clear, colorless, practically free from particles</t>
  </si>
  <si>
    <t>FD-003-002</t>
  </si>
  <si>
    <t>20 mg/mL Arg HCl, 50 mg/mL sucrose</t>
  </si>
  <si>
    <t>FD-003-003</t>
  </si>
  <si>
    <t>4 mg/mL NaCl, 50 mg/mL sucrose</t>
  </si>
  <si>
    <t>FD-003-004</t>
  </si>
  <si>
    <t>FD-003-005</t>
  </si>
  <si>
    <t>FD-003-006</t>
  </si>
  <si>
    <t>FD-003-007</t>
  </si>
  <si>
    <t>FD-003-008</t>
  </si>
  <si>
    <t>FD-003-009</t>
  </si>
  <si>
    <t>FD-003-010</t>
  </si>
  <si>
    <t>Citrate</t>
  </si>
  <si>
    <t>FD-003-011</t>
  </si>
  <si>
    <t>FD-003-012</t>
  </si>
  <si>
    <t>FD-003-013</t>
  </si>
  <si>
    <t>FD-003-014</t>
  </si>
  <si>
    <t>FD-003-015</t>
  </si>
  <si>
    <r>
      <t xml:space="preserve">40 </t>
    </r>
    <r>
      <rPr>
        <sz val="11"/>
        <color theme="1"/>
        <rFont val="Aptos Narrow"/>
        <family val="2"/>
      </rPr>
      <t>°C</t>
    </r>
  </si>
  <si>
    <t>F/T</t>
  </si>
  <si>
    <t>0X</t>
  </si>
  <si>
    <t>FD-003-016</t>
  </si>
  <si>
    <t>FD-003-017</t>
  </si>
  <si>
    <t>FD-003-018</t>
  </si>
  <si>
    <t>FD-003-019</t>
  </si>
  <si>
    <t>FD-003-020</t>
  </si>
  <si>
    <t>FD-003-021</t>
  </si>
  <si>
    <t>FD-003-022</t>
  </si>
  <si>
    <t>FD-003-023</t>
  </si>
  <si>
    <t>FD-003-024</t>
  </si>
  <si>
    <t>FD-003-025</t>
  </si>
  <si>
    <t>FD-003-026</t>
  </si>
  <si>
    <t>FD-003-027</t>
  </si>
  <si>
    <t>FD-003-028</t>
  </si>
  <si>
    <t>FD-003-029</t>
  </si>
  <si>
    <t>FD-003-030</t>
  </si>
  <si>
    <t>FD-003-031</t>
  </si>
  <si>
    <t>FD-003-032</t>
  </si>
  <si>
    <t>FD-003-033</t>
  </si>
  <si>
    <t>FD-003-034</t>
  </si>
  <si>
    <t>FD-003-035</t>
  </si>
  <si>
    <t>FD-003-036</t>
  </si>
  <si>
    <t>FD-003-037</t>
  </si>
  <si>
    <t>FD-003-038</t>
  </si>
  <si>
    <t>FD-003-039</t>
  </si>
  <si>
    <t>Clear, colorless, one long white fibrous particle ~2-3 mm</t>
  </si>
  <si>
    <t>FD-003-040</t>
  </si>
  <si>
    <t>FD-003-041</t>
  </si>
  <si>
    <t>FD-003-042</t>
  </si>
  <si>
    <t>FD-003-043</t>
  </si>
  <si>
    <t>FD-003-044</t>
  </si>
  <si>
    <t>FD-003-045</t>
  </si>
  <si>
    <t>FD-003-046</t>
  </si>
  <si>
    <t>FD-003-047</t>
  </si>
  <si>
    <t>FD-003-048</t>
  </si>
  <si>
    <t>FD-003-049</t>
  </si>
  <si>
    <t>FD-003-050</t>
  </si>
  <si>
    <t>FD-003-051</t>
  </si>
  <si>
    <t>FD-003-052</t>
  </si>
  <si>
    <t>FD-003-053</t>
  </si>
  <si>
    <t>FD-003-054</t>
  </si>
  <si>
    <t>FD-003-055</t>
  </si>
  <si>
    <t>FD-003-056</t>
  </si>
  <si>
    <t>Clear, colorless, one long white fibrous particle ~1 mm</t>
  </si>
  <si>
    <t>FD-003-057</t>
  </si>
  <si>
    <t>FD-003-058</t>
  </si>
  <si>
    <t>FD-003-059</t>
  </si>
  <si>
    <t>FD-003-060</t>
  </si>
  <si>
    <t>FD-003-061</t>
  </si>
  <si>
    <t>FD-003-062</t>
  </si>
  <si>
    <t>FD-003-063</t>
  </si>
  <si>
    <t>FD-003-064</t>
  </si>
  <si>
    <t>FD-003-065</t>
  </si>
  <si>
    <t>FD-003-066</t>
  </si>
  <si>
    <t>FD-003-067</t>
  </si>
  <si>
    <t>FD-003-068</t>
  </si>
  <si>
    <t>FD-003-069</t>
  </si>
  <si>
    <t>FD-003-070</t>
  </si>
  <si>
    <t>FD-003-071</t>
  </si>
  <si>
    <t>FD-003-072</t>
  </si>
  <si>
    <t>FD-003-073</t>
  </si>
  <si>
    <t>FD-003-074</t>
  </si>
  <si>
    <t>FD-003-075</t>
  </si>
  <si>
    <t>FD-003-076</t>
  </si>
  <si>
    <t>FD-003-077</t>
  </si>
  <si>
    <t>FD-003-078</t>
  </si>
  <si>
    <t>FD-003-079</t>
  </si>
  <si>
    <t>FD-003-080</t>
  </si>
  <si>
    <t>FD-003-081</t>
  </si>
  <si>
    <t>FD-003-082</t>
  </si>
  <si>
    <t>FD-003-083</t>
  </si>
  <si>
    <t>FD-003-084</t>
  </si>
  <si>
    <t>FD-003-085</t>
  </si>
  <si>
    <t>FD-003-086</t>
  </si>
  <si>
    <t>FD-003-087</t>
  </si>
  <si>
    <t>FD-003-088</t>
  </si>
  <si>
    <t>FD-003-089</t>
  </si>
  <si>
    <t>FD-003-090</t>
  </si>
  <si>
    <t>FD-003-091</t>
  </si>
  <si>
    <t>5X</t>
  </si>
  <si>
    <t>FD-003-092</t>
  </si>
  <si>
    <t>FD-003-093</t>
  </si>
  <si>
    <t>FD-003-094</t>
  </si>
  <si>
    <t>FD-003-095</t>
  </si>
  <si>
    <t>FD-003-096</t>
  </si>
  <si>
    <t>FD-003-097</t>
  </si>
  <si>
    <t>FD-003-098</t>
  </si>
  <si>
    <t>FD-003-099</t>
  </si>
  <si>
    <t>FD-003-100</t>
  </si>
  <si>
    <t>FD-003-101</t>
  </si>
  <si>
    <t>FD-003-102</t>
  </si>
  <si>
    <t>FD-003-103</t>
  </si>
  <si>
    <t>FD-003-104</t>
  </si>
  <si>
    <t>FD-003-105</t>
  </si>
  <si>
    <t>FD-003-106</t>
  </si>
  <si>
    <t>FD-003-107</t>
  </si>
  <si>
    <t>FD-003-108</t>
  </si>
  <si>
    <t>FD-003-109</t>
  </si>
  <si>
    <t>FD-003-110</t>
  </si>
  <si>
    <t>FD-003-111</t>
  </si>
  <si>
    <t>FD-003-112</t>
  </si>
  <si>
    <t>FD-003-113</t>
  </si>
  <si>
    <t>FD-003-114</t>
  </si>
  <si>
    <t>FD-003-115</t>
  </si>
  <si>
    <t>FD-003-116</t>
  </si>
  <si>
    <t>FD-003-117</t>
  </si>
  <si>
    <t>FD-003-118</t>
  </si>
  <si>
    <t>FD-003-119</t>
  </si>
  <si>
    <t>FD-003-120</t>
  </si>
  <si>
    <t>40 °C</t>
  </si>
  <si>
    <t>Sum of HMW</t>
  </si>
  <si>
    <t>Column Labels</t>
  </si>
  <si>
    <t>Row Labels</t>
  </si>
  <si>
    <t>% Aggregates/month</t>
  </si>
  <si>
    <t>Sum of Main</t>
  </si>
  <si>
    <t>% Monomer/month</t>
  </si>
  <si>
    <t>Sum of LMW</t>
  </si>
  <si>
    <t>% Fragments/month</t>
  </si>
  <si>
    <t>(blank)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</si>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</sst>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4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- 40C'!$B$5:$D$5</c:f>
              <c:numCache>
                <c:formatCode>General</c:formatCode>
                <c:ptCount val="3"/>
                <c:pt idx="0">
                  <c:v>1.94</c:v>
                </c:pt>
                <c:pt idx="1">
                  <c:v>2.5299999999999998</c:v>
                </c:pt>
                <c:pt idx="2">
                  <c:v>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5B-4628-B88B-57FFCB4E0979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- 40C'!$B$8:$D$8</c:f>
              <c:numCache>
                <c:formatCode>General</c:formatCode>
                <c:ptCount val="3"/>
                <c:pt idx="0">
                  <c:v>1.88</c:v>
                </c:pt>
                <c:pt idx="1">
                  <c:v>2.67</c:v>
                </c:pt>
                <c:pt idx="2">
                  <c:v>1.62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5B-4628-B88B-57FFCB4E0979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- 40C'!$B$11:$D$11</c:f>
              <c:numCache>
                <c:formatCode>General</c:formatCode>
                <c:ptCount val="3"/>
                <c:pt idx="0">
                  <c:v>1.98</c:v>
                </c:pt>
                <c:pt idx="1">
                  <c:v>2.82</c:v>
                </c:pt>
                <c:pt idx="2">
                  <c:v>2.72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5B-4628-B88B-57FFCB4E0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20</a:t>
            </a:r>
            <a:r>
              <a:rPr lang="en-US" baseline="0"/>
              <a:t>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- 40C'!$B$6:$D$6</c:f>
              <c:numCache>
                <c:formatCode>General</c:formatCode>
                <c:ptCount val="3"/>
                <c:pt idx="0">
                  <c:v>1.94</c:v>
                </c:pt>
                <c:pt idx="1">
                  <c:v>2.19</c:v>
                </c:pt>
                <c:pt idx="2">
                  <c:v>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FC-4B83-AE34-3812BC6F2BD3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- 40C'!$B$9:$D$9</c:f>
              <c:numCache>
                <c:formatCode>General</c:formatCode>
                <c:ptCount val="3"/>
                <c:pt idx="0">
                  <c:v>1.89</c:v>
                </c:pt>
                <c:pt idx="1">
                  <c:v>2.27</c:v>
                </c:pt>
                <c:pt idx="2">
                  <c:v>2.4300000000000002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FC-4B83-AE34-3812BC6F2BD3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- 40C'!$B$12:$D$12</c:f>
              <c:numCache>
                <c:formatCode>General</c:formatCode>
                <c:ptCount val="3"/>
                <c:pt idx="0">
                  <c:v>1.93</c:v>
                </c:pt>
                <c:pt idx="1">
                  <c:v>2.4</c:v>
                </c:pt>
                <c:pt idx="2">
                  <c:v>2.46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FC-4B83-AE34-3812BC6F2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4 mg/mL NaCl</a:t>
            </a:r>
            <a:r>
              <a:rPr lang="en-US" baseline="0"/>
              <a:t>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- 40C'!$B$7:$D$7</c:f>
              <c:numCache>
                <c:formatCode>General</c:formatCode>
                <c:ptCount val="3"/>
                <c:pt idx="0">
                  <c:v>1.92</c:v>
                </c:pt>
                <c:pt idx="1">
                  <c:v>2.41</c:v>
                </c:pt>
                <c:pt idx="2">
                  <c:v>2.38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41-4877-843C-BD0D13EE6CC2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- 40C'!$B$10:$D$10</c:f>
              <c:numCache>
                <c:formatCode>General</c:formatCode>
                <c:ptCount val="3"/>
                <c:pt idx="0">
                  <c:v>1.88</c:v>
                </c:pt>
                <c:pt idx="1">
                  <c:v>2.54</c:v>
                </c:pt>
                <c:pt idx="2">
                  <c:v>2.4700000000000002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41-4877-843C-BD0D13EE6CC2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- 40C'!$B$13:$D$13</c:f>
              <c:numCache>
                <c:formatCode>General</c:formatCode>
                <c:ptCount val="3"/>
                <c:pt idx="0">
                  <c:v>1.99</c:v>
                </c:pt>
                <c:pt idx="1">
                  <c:v>2.64</c:v>
                </c:pt>
                <c:pt idx="2">
                  <c:v>2.44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41-4877-843C-BD0D13EE6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1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- 40C'!$B$14:$D$14</c:f>
              <c:numCache>
                <c:formatCode>General</c:formatCode>
                <c:ptCount val="3"/>
                <c:pt idx="0">
                  <c:v>1.92</c:v>
                </c:pt>
                <c:pt idx="1">
                  <c:v>2.27</c:v>
                </c:pt>
                <c:pt idx="2">
                  <c:v>2.36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B-483F-871D-CCA0ADD5006F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- 40C'!$B$17:$D$17</c:f>
              <c:numCache>
                <c:formatCode>General</c:formatCode>
                <c:ptCount val="3"/>
                <c:pt idx="0">
                  <c:v>1.88</c:v>
                </c:pt>
                <c:pt idx="1">
                  <c:v>2.41</c:v>
                </c:pt>
                <c:pt idx="2">
                  <c:v>2.5499999999999998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EB-483F-871D-CCA0ADD50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1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20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- 40C'!$B$15:$D$15</c:f>
              <c:numCache>
                <c:formatCode>General</c:formatCode>
                <c:ptCount val="3"/>
                <c:pt idx="0">
                  <c:v>1.89</c:v>
                </c:pt>
                <c:pt idx="1">
                  <c:v>2.1</c:v>
                </c:pt>
                <c:pt idx="2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46-4ACB-A86C-5E9D4B1086CC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- 40C'!$B$18:$D$18</c:f>
              <c:numCache>
                <c:formatCode>General</c:formatCode>
                <c:ptCount val="3"/>
                <c:pt idx="0">
                  <c:v>1.92</c:v>
                </c:pt>
                <c:pt idx="1">
                  <c:v>2.1800000000000002</c:v>
                </c:pt>
                <c:pt idx="2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46-4ACB-A86C-5E9D4B108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1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4 mg/mL NaCl,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- 40C'!$B$16:$D$16</c:f>
              <c:numCache>
                <c:formatCode>General</c:formatCode>
                <c:ptCount val="3"/>
                <c:pt idx="0">
                  <c:v>1.87</c:v>
                </c:pt>
                <c:pt idx="1">
                  <c:v>2.17</c:v>
                </c:pt>
                <c:pt idx="2">
                  <c:v>2.39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0F-4856-8D81-C6C02C9B1B56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HMW - 40C'!$B$19:$D$19</c:f>
              <c:numCache>
                <c:formatCode>General</c:formatCode>
                <c:ptCount val="3"/>
                <c:pt idx="0">
                  <c:v>1.91</c:v>
                </c:pt>
                <c:pt idx="1">
                  <c:v>2.2599999999999998</c:v>
                </c:pt>
                <c:pt idx="2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0F-4856-8D81-C6C02C9B1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1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8669841095106"/>
          <c:y val="0.34375109361329831"/>
          <c:w val="0.8053275643924390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- 40C'!$B$5:$D$5</c:f>
              <c:numCache>
                <c:formatCode>General</c:formatCode>
                <c:ptCount val="3"/>
                <c:pt idx="0">
                  <c:v>97.75</c:v>
                </c:pt>
                <c:pt idx="1">
                  <c:v>96.71</c:v>
                </c:pt>
                <c:pt idx="2">
                  <c:v>96.18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00-4CBF-80E0-EC3DEA0BD8CB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- 40C'!$B$8:$D$8</c:f>
              <c:numCache>
                <c:formatCode>General</c:formatCode>
                <c:ptCount val="3"/>
                <c:pt idx="0">
                  <c:v>97.69</c:v>
                </c:pt>
                <c:pt idx="1">
                  <c:v>96.13</c:v>
                </c:pt>
                <c:pt idx="2">
                  <c:v>94.58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00-4CBF-80E0-EC3DEA0BD8CB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- 40C'!$B$11:$D$11</c:f>
              <c:numCache>
                <c:formatCode>General</c:formatCode>
                <c:ptCount val="3"/>
                <c:pt idx="0">
                  <c:v>97.61</c:v>
                </c:pt>
                <c:pt idx="1">
                  <c:v>95.38</c:v>
                </c:pt>
                <c:pt idx="2">
                  <c:v>94.13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00-4CBF-80E0-EC3DEA0BD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20</a:t>
            </a:r>
            <a:r>
              <a:rPr lang="en-US" baseline="0"/>
              <a:t>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15139260779797"/>
          <c:y val="0.34375109361329831"/>
          <c:w val="0.80304315589415165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- 40C'!$B$6:$D$6</c:f>
              <c:numCache>
                <c:formatCode>General</c:formatCode>
                <c:ptCount val="3"/>
                <c:pt idx="0">
                  <c:v>97.71</c:v>
                </c:pt>
                <c:pt idx="1">
                  <c:v>97.08</c:v>
                </c:pt>
                <c:pt idx="2">
                  <c:v>96.78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19-4B07-9CE4-72E2653B793A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- 40C'!$B$9:$D$9</c:f>
              <c:numCache>
                <c:formatCode>General</c:formatCode>
                <c:ptCount val="3"/>
                <c:pt idx="0">
                  <c:v>97.64</c:v>
                </c:pt>
                <c:pt idx="1">
                  <c:v>96.82</c:v>
                </c:pt>
                <c:pt idx="2">
                  <c:v>96.11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19-4B07-9CE4-72E2653B793A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- 40C'!$B$12:$D$12</c:f>
              <c:numCache>
                <c:formatCode>General</c:formatCode>
                <c:ptCount val="3"/>
                <c:pt idx="0">
                  <c:v>97.63</c:v>
                </c:pt>
                <c:pt idx="1">
                  <c:v>96.22</c:v>
                </c:pt>
                <c:pt idx="2">
                  <c:v>95.19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19-4B07-9CE4-72E2653B7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4 mg/mL NaCl</a:t>
            </a:r>
            <a:r>
              <a:rPr lang="en-US" baseline="0"/>
              <a:t>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9171612321128"/>
          <c:y val="0.34375109361329831"/>
          <c:w val="0.82360283237873833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- 40C'!$B$7:$D$7</c:f>
              <c:numCache>
                <c:formatCode>General</c:formatCode>
                <c:ptCount val="3"/>
                <c:pt idx="0">
                  <c:v>97.72</c:v>
                </c:pt>
                <c:pt idx="1">
                  <c:v>96.52</c:v>
                </c:pt>
                <c:pt idx="2">
                  <c:v>95.93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A7-479C-883E-3CE008C36149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- 40C'!$B$10:$D$10</c:f>
              <c:numCache>
                <c:formatCode>General</c:formatCode>
                <c:ptCount val="3"/>
                <c:pt idx="0">
                  <c:v>97.67</c:v>
                </c:pt>
                <c:pt idx="1">
                  <c:v>95.79</c:v>
                </c:pt>
                <c:pt idx="2">
                  <c:v>94.89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EA7-479C-883E-3CE008C36149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- 40C'!$B$13:$D$13</c:f>
              <c:numCache>
                <c:formatCode>General</c:formatCode>
                <c:ptCount val="3"/>
                <c:pt idx="0">
                  <c:v>97.59</c:v>
                </c:pt>
                <c:pt idx="1">
                  <c:v>95.13</c:v>
                </c:pt>
                <c:pt idx="2">
                  <c:v>93.69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EA7-479C-883E-3CE008C36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1375861464837"/>
          <c:y val="0.34375109361329831"/>
          <c:w val="0.81218078988730114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- 40C'!$B$14:$D$14</c:f>
              <c:numCache>
                <c:formatCode>General</c:formatCode>
                <c:ptCount val="3"/>
                <c:pt idx="0">
                  <c:v>97.65</c:v>
                </c:pt>
                <c:pt idx="1">
                  <c:v>97.06</c:v>
                </c:pt>
                <c:pt idx="2">
                  <c:v>96.88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A5-4EBD-9C7D-80AC8D43496E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- 40C'!$B$17:$D$17</c:f>
              <c:numCache>
                <c:formatCode>General</c:formatCode>
                <c:ptCount val="3"/>
                <c:pt idx="0">
                  <c:v>97.65</c:v>
                </c:pt>
                <c:pt idx="1">
                  <c:v>96.86</c:v>
                </c:pt>
                <c:pt idx="2">
                  <c:v>96.44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A5-4EBD-9C7D-80AC8D434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20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9171612321128"/>
          <c:y val="0.34375109361329831"/>
          <c:w val="0.82360283237873833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- 40C'!$B$15:$D$15</c:f>
              <c:numCache>
                <c:formatCode>General</c:formatCode>
                <c:ptCount val="3"/>
                <c:pt idx="0">
                  <c:v>97.67</c:v>
                </c:pt>
                <c:pt idx="1">
                  <c:v>97.24</c:v>
                </c:pt>
                <c:pt idx="2">
                  <c:v>96.77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94-469A-95EA-76818FADE44A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- 40C'!$B$18:$D$18</c:f>
              <c:numCache>
                <c:formatCode>General</c:formatCode>
                <c:ptCount val="3"/>
                <c:pt idx="0">
                  <c:v>97.6</c:v>
                </c:pt>
                <c:pt idx="1">
                  <c:v>97.01</c:v>
                </c:pt>
                <c:pt idx="2">
                  <c:v>96.7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94-469A-95EA-76818FADE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4 mg/mL NaCl,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6053311978612"/>
          <c:y val="0.34375109361329831"/>
          <c:w val="0.81903401538216358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- 40C'!$B$16:$D$16</c:f>
              <c:numCache>
                <c:formatCode>General</c:formatCode>
                <c:ptCount val="3"/>
                <c:pt idx="0">
                  <c:v>97.7</c:v>
                </c:pt>
                <c:pt idx="1">
                  <c:v>97.13</c:v>
                </c:pt>
                <c:pt idx="2">
                  <c:v>96.73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DB-4368-825A-7BA0ABC1CB79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Main - 40C'!$B$19:$D$19</c:f>
              <c:numCache>
                <c:formatCode>General</c:formatCode>
                <c:ptCount val="3"/>
                <c:pt idx="0">
                  <c:v>97.59</c:v>
                </c:pt>
                <c:pt idx="1">
                  <c:v>97</c:v>
                </c:pt>
                <c:pt idx="2">
                  <c:v>96.47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DB-4368-825A-7BA0ABC1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30730762492387"/>
          <c:y val="0.34375109361329831"/>
          <c:w val="0.82588724087702581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- 40C'!$B$5:$D$5</c:f>
              <c:numCache>
                <c:formatCode>General</c:formatCode>
                <c:ptCount val="3"/>
                <c:pt idx="0">
                  <c:v>0.31</c:v>
                </c:pt>
                <c:pt idx="1">
                  <c:v>0.76</c:v>
                </c:pt>
                <c:pt idx="2">
                  <c:v>1.28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5C-4877-9745-43FE76C38FA8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- 40C'!$B$8:$D$8</c:f>
              <c:numCache>
                <c:formatCode>General</c:formatCode>
                <c:ptCount val="3"/>
                <c:pt idx="0">
                  <c:v>0.43</c:v>
                </c:pt>
                <c:pt idx="1">
                  <c:v>1.2</c:v>
                </c:pt>
                <c:pt idx="2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5C-4877-9745-43FE76C38FA8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- 40C'!$B$11:$D$11</c:f>
              <c:numCache>
                <c:formatCode>General</c:formatCode>
                <c:ptCount val="3"/>
                <c:pt idx="0">
                  <c:v>0.41</c:v>
                </c:pt>
                <c:pt idx="1">
                  <c:v>1.8</c:v>
                </c:pt>
                <c:pt idx="2">
                  <c:v>3.15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D5C-4877-9745-43FE76C38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20</a:t>
            </a:r>
            <a:r>
              <a:rPr lang="en-US" baseline="0"/>
              <a:t>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87612462149869"/>
          <c:y val="0.34375109361329831"/>
          <c:w val="0.82131842388045095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- 40C'!$B$6:$D$6</c:f>
              <c:numCache>
                <c:formatCode>General</c:formatCode>
                <c:ptCount val="3"/>
                <c:pt idx="0">
                  <c:v>0.35</c:v>
                </c:pt>
                <c:pt idx="1">
                  <c:v>0.73</c:v>
                </c:pt>
                <c:pt idx="2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E-47E1-ABDB-44E6F2F07891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- 40C'!$B$9:$D$9</c:f>
              <c:numCache>
                <c:formatCode>General</c:formatCode>
                <c:ptCount val="3"/>
                <c:pt idx="0">
                  <c:v>0.46</c:v>
                </c:pt>
                <c:pt idx="1">
                  <c:v>0.92</c:v>
                </c:pt>
                <c:pt idx="2">
                  <c:v>1.46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AE-47E1-ABDB-44E6F2F07891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- 40C'!$B$12:$D$12</c:f>
              <c:numCache>
                <c:formatCode>General</c:formatCode>
                <c:ptCount val="3"/>
                <c:pt idx="0">
                  <c:v>0.44</c:v>
                </c:pt>
                <c:pt idx="1">
                  <c:v>1.38</c:v>
                </c:pt>
                <c:pt idx="2">
                  <c:v>2.35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0AE-47E1-ABDB-44E6F2F07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4 mg/mL NaCl</a:t>
            </a:r>
            <a:r>
              <a:rPr lang="en-US" baseline="0"/>
              <a:t>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9171612321128"/>
          <c:y val="0.34375109361329831"/>
          <c:w val="0.82360283237873833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- 40C'!$B$7:$D$7</c:f>
              <c:numCache>
                <c:formatCode>General</c:formatCode>
                <c:ptCount val="3"/>
                <c:pt idx="0">
                  <c:v>0.36</c:v>
                </c:pt>
                <c:pt idx="1">
                  <c:v>1.08</c:v>
                </c:pt>
                <c:pt idx="2">
                  <c:v>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83-45BE-810C-09A053974899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- 40C'!$B$10:$D$10</c:f>
              <c:numCache>
                <c:formatCode>General</c:formatCode>
                <c:ptCount val="3"/>
                <c:pt idx="0">
                  <c:v>0.45</c:v>
                </c:pt>
                <c:pt idx="1">
                  <c:v>1.67</c:v>
                </c:pt>
                <c:pt idx="2">
                  <c:v>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83-45BE-810C-09A053974899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- 40C'!$B$13:$D$13</c:f>
              <c:numCache>
                <c:formatCode>General</c:formatCode>
                <c:ptCount val="3"/>
                <c:pt idx="0">
                  <c:v>0.41</c:v>
                </c:pt>
                <c:pt idx="1">
                  <c:v>2.23</c:v>
                </c:pt>
                <c:pt idx="2">
                  <c:v>3.88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83-45BE-810C-09A053974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87612462149869"/>
          <c:y val="0.34375109361329831"/>
          <c:w val="0.82131842388045095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- 40C'!$B$14:$D$14</c:f>
              <c:numCache>
                <c:formatCode>General</c:formatCode>
                <c:ptCount val="3"/>
                <c:pt idx="0">
                  <c:v>0.43</c:v>
                </c:pt>
                <c:pt idx="1">
                  <c:v>0.67</c:v>
                </c:pt>
                <c:pt idx="2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AA-4E25-95E1-EFD9E21ECD43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- 40C'!$B$17:$D$17</c:f>
              <c:numCache>
                <c:formatCode>General</c:formatCode>
                <c:ptCount val="3"/>
                <c:pt idx="0">
                  <c:v>0.46</c:v>
                </c:pt>
                <c:pt idx="1">
                  <c:v>0.73</c:v>
                </c:pt>
                <c:pt idx="2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AA-4E25-95E1-EFD9E21EC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20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9171612321128"/>
          <c:y val="0.34375109361329831"/>
          <c:w val="0.82360283237873833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- 40C'!$B$15:$D$15</c:f>
              <c:numCache>
                <c:formatCode>General</c:formatCode>
                <c:ptCount val="3"/>
                <c:pt idx="0">
                  <c:v>0.44</c:v>
                </c:pt>
                <c:pt idx="1">
                  <c:v>0.67</c:v>
                </c:pt>
                <c:pt idx="2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F3-4739-8DCD-1B0A1094A72F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- 40C'!$B$18:$D$18</c:f>
              <c:numCache>
                <c:formatCode>General</c:formatCode>
                <c:ptCount val="3"/>
                <c:pt idx="0">
                  <c:v>0.48</c:v>
                </c:pt>
                <c:pt idx="1">
                  <c:v>0.81</c:v>
                </c:pt>
                <c:pt idx="2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F3-4739-8DCD-1B0A1094A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4 mg/mL NaCl,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6053311978612"/>
          <c:y val="0.34375109361329831"/>
          <c:w val="0.81903401538216358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- 40C'!$B$16:$D$16</c:f>
              <c:numCache>
                <c:formatCode>General</c:formatCode>
                <c:ptCount val="3"/>
                <c:pt idx="0">
                  <c:v>0.43</c:v>
                </c:pt>
                <c:pt idx="1">
                  <c:v>0.7</c:v>
                </c:pt>
                <c:pt idx="2">
                  <c:v>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9-4036-8E08-2CCB5716155B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- 40C'!$B$4:$D$4</c:f>
              <c:numCache>
                <c:formatCode>General</c:formatCode>
                <c:ptCount val="3"/>
                <c:pt idx="0">
                  <c:v>0</c:v>
                </c:pt>
                <c:pt idx="1">
                  <c:v>0.13</c:v>
                </c:pt>
                <c:pt idx="2">
                  <c:v>0.23</c:v>
                </c:pt>
              </c:numCache>
            </c:numRef>
          </c:xVal>
          <c:yVal>
            <c:numRef>
              <c:f>'SEC LMW - 40C'!$B$19:$D$19</c:f>
              <c:numCache>
                <c:formatCode>General</c:formatCode>
                <c:ptCount val="3"/>
                <c:pt idx="0">
                  <c:v>0.5</c:v>
                </c:pt>
                <c:pt idx="1">
                  <c:v>0.74</c:v>
                </c:pt>
                <c:pt idx="2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49-4036-8E08-2CCB57161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 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- 25C'!$B$5:$D$5</c:f>
              <c:numCache>
                <c:formatCode>General</c:formatCode>
                <c:ptCount val="3"/>
                <c:pt idx="0">
                  <c:v>1.94</c:v>
                </c:pt>
                <c:pt idx="1">
                  <c:v>2.2200000000000002</c:v>
                </c:pt>
                <c:pt idx="2">
                  <c:v>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99-4C14-A32A-BFE79324DCB6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- 25C'!$B$8:$D$8</c:f>
              <c:numCache>
                <c:formatCode>General</c:formatCode>
                <c:ptCount val="3"/>
                <c:pt idx="0">
                  <c:v>1.88</c:v>
                </c:pt>
                <c:pt idx="1">
                  <c:v>2.19</c:v>
                </c:pt>
                <c:pt idx="2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99-4C14-A32A-BFE79324DCB6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- 25C'!$B$11:$D$11</c:f>
              <c:numCache>
                <c:formatCode>General</c:formatCode>
                <c:ptCount val="3"/>
                <c:pt idx="0">
                  <c:v>1.98</c:v>
                </c:pt>
                <c:pt idx="1">
                  <c:v>2.36</c:v>
                </c:pt>
                <c:pt idx="2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99-4C14-A32A-BFE79324D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2.7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20</a:t>
            </a:r>
            <a:r>
              <a:rPr lang="en-US" baseline="0"/>
              <a:t>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- 25C'!$B$6:$D$6</c:f>
              <c:numCache>
                <c:formatCode>General</c:formatCode>
                <c:ptCount val="3"/>
                <c:pt idx="0">
                  <c:v>1.94</c:v>
                </c:pt>
                <c:pt idx="1">
                  <c:v>1.99</c:v>
                </c:pt>
                <c:pt idx="2">
                  <c:v>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67-4801-AD78-269E8AB87463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- 25C'!$B$9:$D$9</c:f>
              <c:numCache>
                <c:formatCode>General</c:formatCode>
                <c:ptCount val="3"/>
                <c:pt idx="0">
                  <c:v>1.89</c:v>
                </c:pt>
                <c:pt idx="1">
                  <c:v>2.0499999999999998</c:v>
                </c:pt>
                <c:pt idx="2">
                  <c:v>2.16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67-4801-AD78-269E8AB87463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- 25C'!$B$12:$D$12</c:f>
              <c:numCache>
                <c:formatCode>General</c:formatCode>
                <c:ptCount val="3"/>
                <c:pt idx="0">
                  <c:v>1.93</c:v>
                </c:pt>
                <c:pt idx="1">
                  <c:v>2.16</c:v>
                </c:pt>
                <c:pt idx="2">
                  <c:v>2.31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67-4801-AD78-269E8AB87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2.7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4 mg/mL NaCl</a:t>
            </a:r>
            <a:r>
              <a:rPr lang="en-US" baseline="0"/>
              <a:t>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- 25C'!$B$7:$D$7</c:f>
              <c:numCache>
                <c:formatCode>General</c:formatCode>
                <c:ptCount val="3"/>
                <c:pt idx="0">
                  <c:v>1.92</c:v>
                </c:pt>
                <c:pt idx="1">
                  <c:v>2.14</c:v>
                </c:pt>
                <c:pt idx="2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72-4C4B-91E3-F64D28364F43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- 25C'!$B$10:$D$10</c:f>
              <c:numCache>
                <c:formatCode>General</c:formatCode>
                <c:ptCount val="3"/>
                <c:pt idx="0">
                  <c:v>1.88</c:v>
                </c:pt>
                <c:pt idx="1">
                  <c:v>2.17</c:v>
                </c:pt>
                <c:pt idx="2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72-4C4B-91E3-F64D28364F43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- 25C'!$B$13:$D$13</c:f>
              <c:numCache>
                <c:formatCode>General</c:formatCode>
                <c:ptCount val="3"/>
                <c:pt idx="0">
                  <c:v>1.99</c:v>
                </c:pt>
                <c:pt idx="1">
                  <c:v>2.25</c:v>
                </c:pt>
                <c:pt idx="2">
                  <c:v>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72-4C4B-91E3-F64D28364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2.7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- 25C'!$B$14:$D$14</c:f>
              <c:numCache>
                <c:formatCode>General</c:formatCode>
                <c:ptCount val="3"/>
                <c:pt idx="0">
                  <c:v>1.92</c:v>
                </c:pt>
                <c:pt idx="1">
                  <c:v>2.06</c:v>
                </c:pt>
                <c:pt idx="2">
                  <c:v>2.13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E5-45A1-96F2-F2D0CE577BD2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- 25C'!$B$17:$D$17</c:f>
              <c:numCache>
                <c:formatCode>General</c:formatCode>
                <c:ptCount val="3"/>
                <c:pt idx="0">
                  <c:v>1.88</c:v>
                </c:pt>
                <c:pt idx="1">
                  <c:v>2.15</c:v>
                </c:pt>
                <c:pt idx="2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E5-45A1-96F2-F2D0CE577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2.7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20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- 25C'!$B$15:$D$15</c:f>
              <c:numCache>
                <c:formatCode>General</c:formatCode>
                <c:ptCount val="3"/>
                <c:pt idx="0">
                  <c:v>1.89</c:v>
                </c:pt>
                <c:pt idx="1">
                  <c:v>1.97</c:v>
                </c:pt>
                <c:pt idx="2">
                  <c:v>2.02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02-4B94-A76B-4E22901C824E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- 25C'!$B$18:$D$18</c:f>
              <c:numCache>
                <c:formatCode>General</c:formatCode>
                <c:ptCount val="3"/>
                <c:pt idx="0">
                  <c:v>1.92</c:v>
                </c:pt>
                <c:pt idx="1">
                  <c:v>2.1</c:v>
                </c:pt>
                <c:pt idx="2">
                  <c:v>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02-4B94-A76B-4E22901C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2.7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4 mg/mL NaCl,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74759405074367"/>
          <c:y val="0.34375109361329831"/>
          <c:w val="0.8464468503937008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- 25C'!$B$16:$D$16</c:f>
              <c:numCache>
                <c:formatCode>General</c:formatCode>
                <c:ptCount val="3"/>
                <c:pt idx="0">
                  <c:v>1.87</c:v>
                </c:pt>
                <c:pt idx="1">
                  <c:v>2.02</c:v>
                </c:pt>
                <c:pt idx="2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3-457B-91AE-F9882103C244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HMW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HMW - 25C'!$B$19:$D$19</c:f>
              <c:numCache>
                <c:formatCode>General</c:formatCode>
                <c:ptCount val="3"/>
                <c:pt idx="0">
                  <c:v>1.91</c:v>
                </c:pt>
                <c:pt idx="1">
                  <c:v>2.11</c:v>
                </c:pt>
                <c:pt idx="2">
                  <c:v>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03-457B-91AE-F9882103C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2.7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Aggregates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8669841095106"/>
          <c:y val="0.34375109361329831"/>
          <c:w val="0.80532756439243902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- 25C'!$B$5:$D$5</c:f>
              <c:numCache>
                <c:formatCode>General</c:formatCode>
                <c:ptCount val="3"/>
                <c:pt idx="0">
                  <c:v>97.75</c:v>
                </c:pt>
                <c:pt idx="1">
                  <c:v>97.32</c:v>
                </c:pt>
                <c:pt idx="2">
                  <c:v>97.36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46-4A71-A2C6-C1A4577C6EDF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- 25C'!$B$8:$D$8</c:f>
              <c:numCache>
                <c:formatCode>General</c:formatCode>
                <c:ptCount val="3"/>
                <c:pt idx="0">
                  <c:v>97.69</c:v>
                </c:pt>
                <c:pt idx="1">
                  <c:v>97.33</c:v>
                </c:pt>
                <c:pt idx="2">
                  <c:v>96.11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46-4A71-A2C6-C1A4577C6EDF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- 25C'!$B$11:$D$11</c:f>
              <c:numCache>
                <c:formatCode>General</c:formatCode>
                <c:ptCount val="3"/>
                <c:pt idx="0">
                  <c:v>97.61</c:v>
                </c:pt>
                <c:pt idx="1">
                  <c:v>97</c:v>
                </c:pt>
                <c:pt idx="2">
                  <c:v>96.79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46-4A71-A2C6-C1A4577C6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20</a:t>
            </a:r>
            <a:r>
              <a:rPr lang="en-US" baseline="0"/>
              <a:t>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15139260779797"/>
          <c:y val="0.34375109361329831"/>
          <c:w val="0.80304315589415165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- 25C'!$B$6:$D$6</c:f>
              <c:numCache>
                <c:formatCode>General</c:formatCode>
                <c:ptCount val="3"/>
                <c:pt idx="0">
                  <c:v>97.71</c:v>
                </c:pt>
                <c:pt idx="1">
                  <c:v>97.63</c:v>
                </c:pt>
                <c:pt idx="2">
                  <c:v>97.49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5E-400A-8E88-BE1C806961B6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- 25C'!$B$9:$D$9</c:f>
              <c:numCache>
                <c:formatCode>General</c:formatCode>
                <c:ptCount val="3"/>
                <c:pt idx="0">
                  <c:v>97.64</c:v>
                </c:pt>
                <c:pt idx="1">
                  <c:v>97.45</c:v>
                </c:pt>
                <c:pt idx="2">
                  <c:v>97.28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5E-400A-8E88-BE1C806961B6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- 25C'!$B$12:$D$12</c:f>
              <c:numCache>
                <c:formatCode>General</c:formatCode>
                <c:ptCount val="3"/>
                <c:pt idx="0">
                  <c:v>97.63</c:v>
                </c:pt>
                <c:pt idx="1">
                  <c:v>97.21</c:v>
                </c:pt>
                <c:pt idx="2">
                  <c:v>96.87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E5E-400A-8E88-BE1C8069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98"/>
          <c:min val="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4 mg/mL NaCl</a:t>
            </a:r>
            <a:r>
              <a:rPr lang="en-US" baseline="0"/>
              <a:t>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9171612321128"/>
          <c:y val="0.34375109361329831"/>
          <c:w val="0.82360283237873833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- 25C'!$B$7:$D$7</c:f>
              <c:numCache>
                <c:formatCode>General</c:formatCode>
                <c:ptCount val="3"/>
                <c:pt idx="0">
                  <c:v>97.72</c:v>
                </c:pt>
                <c:pt idx="1">
                  <c:v>97.33</c:v>
                </c:pt>
                <c:pt idx="2">
                  <c:v>97.2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12-4FBC-BAAF-DD2765048968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- 25C'!$B$10:$D$10</c:f>
              <c:numCache>
                <c:formatCode>General</c:formatCode>
                <c:ptCount val="3"/>
                <c:pt idx="0">
                  <c:v>97.67</c:v>
                </c:pt>
                <c:pt idx="1">
                  <c:v>97.3</c:v>
                </c:pt>
                <c:pt idx="2">
                  <c:v>96.96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12-4FBC-BAAF-DD2765048968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- 25C'!$B$13:$D$13</c:f>
              <c:numCache>
                <c:formatCode>General</c:formatCode>
                <c:ptCount val="3"/>
                <c:pt idx="0">
                  <c:v>97.59</c:v>
                </c:pt>
                <c:pt idx="1">
                  <c:v>97.13</c:v>
                </c:pt>
                <c:pt idx="2">
                  <c:v>96.81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12-4FBC-BAAF-DD2765048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01375861464837"/>
          <c:y val="0.34375109361329831"/>
          <c:w val="0.81218078988730114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- 25C'!$B$14:$D$14</c:f>
              <c:numCache>
                <c:formatCode>General</c:formatCode>
                <c:ptCount val="3"/>
                <c:pt idx="0">
                  <c:v>97.65</c:v>
                </c:pt>
                <c:pt idx="1">
                  <c:v>97.49</c:v>
                </c:pt>
                <c:pt idx="2">
                  <c:v>97.43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7-42F0-BA2F-9438FFAAC7AC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- 25C'!$B$17:$D$17</c:f>
              <c:numCache>
                <c:formatCode>General</c:formatCode>
                <c:ptCount val="3"/>
                <c:pt idx="0">
                  <c:v>97.65</c:v>
                </c:pt>
                <c:pt idx="1">
                  <c:v>97.39</c:v>
                </c:pt>
                <c:pt idx="2">
                  <c:v>97.22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247-42F0-BA2F-9438FFAAC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20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9171612321128"/>
          <c:y val="0.34375109361329831"/>
          <c:w val="0.82360283237873833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- 25C'!$B$15:$D$15</c:f>
              <c:numCache>
                <c:formatCode>General</c:formatCode>
                <c:ptCount val="3"/>
                <c:pt idx="0">
                  <c:v>97.67</c:v>
                </c:pt>
                <c:pt idx="1">
                  <c:v>97.5</c:v>
                </c:pt>
                <c:pt idx="2">
                  <c:v>97.5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D1-4C20-87BC-74C422453A1D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- 25C'!$B$18:$D$18</c:f>
              <c:numCache>
                <c:formatCode>General</c:formatCode>
                <c:ptCount val="3"/>
                <c:pt idx="0">
                  <c:v>97.6</c:v>
                </c:pt>
                <c:pt idx="1">
                  <c:v>97.39</c:v>
                </c:pt>
                <c:pt idx="2">
                  <c:v>97.38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D1-4C20-87BC-74C42245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98"/>
          <c:min val="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4 mg/mL NaCl,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6053311978612"/>
          <c:y val="0.34375109361329831"/>
          <c:w val="0.81903401538216358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- 25C'!$B$16:$D$16</c:f>
              <c:numCache>
                <c:formatCode>General</c:formatCode>
                <c:ptCount val="3"/>
                <c:pt idx="0">
                  <c:v>97.7</c:v>
                </c:pt>
                <c:pt idx="1">
                  <c:v>97.47</c:v>
                </c:pt>
                <c:pt idx="2">
                  <c:v>97.4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BB-4B29-8D42-C0BEFC0639CC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Main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Main - 25C'!$B$19:$D$19</c:f>
              <c:numCache>
                <c:formatCode>General</c:formatCode>
                <c:ptCount val="3"/>
                <c:pt idx="0">
                  <c:v>97.59</c:v>
                </c:pt>
                <c:pt idx="1">
                  <c:v>97.34</c:v>
                </c:pt>
                <c:pt idx="2">
                  <c:v>97.33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BB-4B29-8D42-C0BEFC063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Monomer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30730762492387"/>
          <c:y val="0.34375109361329831"/>
          <c:w val="0.82588724087702581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- 25C'!$B$5:$D$5</c:f>
              <c:numCache>
                <c:formatCode>General</c:formatCode>
                <c:ptCount val="3"/>
                <c:pt idx="0">
                  <c:v>0.31</c:v>
                </c:pt>
                <c:pt idx="1">
                  <c:v>0.45</c:v>
                </c:pt>
                <c:pt idx="2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70-40D4-8A4F-58C06CB9959F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- 25C'!$B$8:$D$8</c:f>
              <c:numCache>
                <c:formatCode>General</c:formatCode>
                <c:ptCount val="3"/>
                <c:pt idx="0">
                  <c:v>0.43</c:v>
                </c:pt>
                <c:pt idx="1">
                  <c:v>0.48</c:v>
                </c:pt>
                <c:pt idx="2">
                  <c:v>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70-40D4-8A4F-58C06CB9959F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- 25C'!$B$11:$D$11</c:f>
              <c:numCache>
                <c:formatCode>General</c:formatCode>
                <c:ptCount val="3"/>
                <c:pt idx="0">
                  <c:v>0.41</c:v>
                </c:pt>
                <c:pt idx="1">
                  <c:v>0.64</c:v>
                </c:pt>
                <c:pt idx="2">
                  <c:v>0.71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70-40D4-8A4F-58C06CB99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20</a:t>
            </a:r>
            <a:r>
              <a:rPr lang="en-US" baseline="0"/>
              <a:t>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87612462149869"/>
          <c:y val="0.34375109361329831"/>
          <c:w val="0.82131842388045095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- 25C'!$B$6:$D$6</c:f>
              <c:numCache>
                <c:formatCode>General</c:formatCode>
                <c:ptCount val="3"/>
                <c:pt idx="0">
                  <c:v>0.35</c:v>
                </c:pt>
                <c:pt idx="1">
                  <c:v>0.38</c:v>
                </c:pt>
                <c:pt idx="2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53-438C-BB87-3C399B33F6E0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- 25C'!$B$9:$D$9</c:f>
              <c:numCache>
                <c:formatCode>General</c:formatCode>
                <c:ptCount val="3"/>
                <c:pt idx="0">
                  <c:v>0.46</c:v>
                </c:pt>
                <c:pt idx="1">
                  <c:v>0.5</c:v>
                </c:pt>
                <c:pt idx="2">
                  <c:v>0.56000000000000005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53-438C-BB87-3C399B33F6E0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- 25C'!$B$12:$D$12</c:f>
              <c:numCache>
                <c:formatCode>General</c:formatCode>
                <c:ptCount val="3"/>
                <c:pt idx="0">
                  <c:v>0.44</c:v>
                </c:pt>
                <c:pt idx="1">
                  <c:v>0.63</c:v>
                </c:pt>
                <c:pt idx="2">
                  <c:v>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353-438C-BB87-3C399B33F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Phosphate, 4 mg/mL NaCl</a:t>
            </a:r>
            <a:r>
              <a:rPr lang="en-US" baseline="0"/>
              <a:t>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9171612321128"/>
          <c:y val="0.34375109361329831"/>
          <c:w val="0.82360283237873833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- 25C'!$B$7:$D$7</c:f>
              <c:numCache>
                <c:formatCode>General</c:formatCode>
                <c:ptCount val="3"/>
                <c:pt idx="0">
                  <c:v>0.36</c:v>
                </c:pt>
                <c:pt idx="1">
                  <c:v>0.53</c:v>
                </c:pt>
                <c:pt idx="2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58-43E8-84EB-FE0143F8280C}"/>
            </c:ext>
          </c:extLst>
        </c:ser>
        <c:ser>
          <c:idx val="1"/>
          <c:order val="1"/>
          <c:tx>
            <c:v>pH 7.0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- 25C'!$B$10:$D$10</c:f>
              <c:numCache>
                <c:formatCode>General</c:formatCode>
                <c:ptCount val="3"/>
                <c:pt idx="0">
                  <c:v>0.45</c:v>
                </c:pt>
                <c:pt idx="1">
                  <c:v>0.52</c:v>
                </c:pt>
                <c:pt idx="2">
                  <c:v>0.77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58-43E8-84EB-FE0143F8280C}"/>
            </c:ext>
          </c:extLst>
        </c:ser>
        <c:ser>
          <c:idx val="2"/>
          <c:order val="2"/>
          <c:tx>
            <c:v>pH 7.5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- 25C'!$B$13:$D$13</c:f>
              <c:numCache>
                <c:formatCode>General</c:formatCode>
                <c:ptCount val="3"/>
                <c:pt idx="0">
                  <c:v>0.41</c:v>
                </c:pt>
                <c:pt idx="1">
                  <c:v>0.62</c:v>
                </c:pt>
                <c:pt idx="2">
                  <c:v>0.91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58-43E8-84EB-FE0143F82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692129007563012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87612462149869"/>
          <c:y val="0.34375109361329831"/>
          <c:w val="0.82131842388045095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- 25C'!$B$14:$D$14</c:f>
              <c:numCache>
                <c:formatCode>General</c:formatCode>
                <c:ptCount val="3"/>
                <c:pt idx="0">
                  <c:v>0.43</c:v>
                </c:pt>
                <c:pt idx="1">
                  <c:v>0.45</c:v>
                </c:pt>
                <c:pt idx="2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EB-4107-8B44-5C99B7A4BF6E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- 25C'!$B$17:$D$17</c:f>
              <c:numCache>
                <c:formatCode>General</c:formatCode>
                <c:ptCount val="3"/>
                <c:pt idx="0">
                  <c:v>0.46</c:v>
                </c:pt>
                <c:pt idx="1">
                  <c:v>0.46</c:v>
                </c:pt>
                <c:pt idx="2">
                  <c:v>0.52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EB-4107-8B44-5C99B7A4B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20 mg/mL Arg HCl,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9171612321128"/>
          <c:y val="0.34375109361329831"/>
          <c:w val="0.82360283237873833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- 25C'!$B$15:$D$15</c:f>
              <c:numCache>
                <c:formatCode>General</c:formatCode>
                <c:ptCount val="3"/>
                <c:pt idx="0">
                  <c:v>0.44</c:v>
                </c:pt>
                <c:pt idx="1">
                  <c:v>0.54</c:v>
                </c:pt>
                <c:pt idx="2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2-4735-9589-F42E2469FB1F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- 25C'!$B$18:$D$18</c:f>
              <c:numCache>
                <c:formatCode>General</c:formatCode>
                <c:ptCount val="3"/>
                <c:pt idx="0">
                  <c:v>0.48</c:v>
                </c:pt>
                <c:pt idx="1">
                  <c:v>0.51</c:v>
                </c:pt>
                <c:pt idx="2">
                  <c:v>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22-4735-9589-F42E2469F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</a:t>
            </a:r>
            <a:r>
              <a:rPr lang="en-US" baseline="0"/>
              <a:t> Citrate, 4 mg/mL NaCl, 50 mg/mL Sucrose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16053311978612"/>
          <c:y val="0.34375109361329831"/>
          <c:w val="0.81903401538216358"/>
          <c:h val="0.52607174103237098"/>
        </c:manualLayout>
      </c:layout>
      <c:scatterChart>
        <c:scatterStyle val="lineMarker"/>
        <c:varyColors val="0"/>
        <c:ser>
          <c:idx val="0"/>
          <c:order val="0"/>
          <c:tx>
            <c:v>pH 6.2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- 25C'!$B$16:$D$16</c:f>
              <c:numCache>
                <c:formatCode>General</c:formatCode>
                <c:ptCount val="3"/>
                <c:pt idx="0">
                  <c:v>0.43</c:v>
                </c:pt>
                <c:pt idx="1">
                  <c:v>0.51</c:v>
                </c:pt>
                <c:pt idx="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FE-42E0-BAE3-1B5868E366D2}"/>
            </c:ext>
          </c:extLst>
        </c:ser>
        <c:ser>
          <c:idx val="1"/>
          <c:order val="1"/>
          <c:tx>
            <c:v>pH 6.8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'SEC LMW - 25C'!$B$4:$D$4</c:f>
              <c:numCache>
                <c:formatCode>General</c:formatCode>
                <c:ptCount val="3"/>
                <c:pt idx="0">
                  <c:v>0</c:v>
                </c:pt>
                <c:pt idx="1">
                  <c:v>0.23</c:v>
                </c:pt>
                <c:pt idx="2">
                  <c:v>0.46</c:v>
                </c:pt>
              </c:numCache>
            </c:numRef>
          </c:xVal>
          <c:yVal>
            <c:numRef>
              <c:f>'SEC LMW - 25C'!$B$19:$D$19</c:f>
              <c:numCache>
                <c:formatCode>General</c:formatCode>
                <c:ptCount val="3"/>
                <c:pt idx="0">
                  <c:v>0.5</c:v>
                </c:pt>
                <c:pt idx="1">
                  <c:v>0.55000000000000004</c:v>
                </c:pt>
                <c:pt idx="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FE-42E0-BAE3-1B5868E3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85231"/>
        <c:axId val="260679951"/>
      </c:scatterChart>
      <c:valAx>
        <c:axId val="2606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79951"/>
        <c:crosses val="autoZero"/>
        <c:crossBetween val="midCat"/>
      </c:valAx>
      <c:valAx>
        <c:axId val="260679951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% Fragments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68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0569857391753"/>
          <c:y val="0.16666666666666666"/>
          <c:w val="0.82784787494248502"/>
          <c:h val="0.14059349342897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53974</xdr:colOff>
      <xdr:row>4</xdr:row>
      <xdr:rowOff>31750</xdr:rowOff>
    </xdr:from>
    <xdr:to>
      <xdr:col>21</xdr:col>
      <xdr:colOff>127000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15A2A7-ADF1-100C-3F7C-FDEC8098E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4</xdr:row>
      <xdr:rowOff>25400</xdr:rowOff>
    </xdr:from>
    <xdr:to>
      <xdr:col>30</xdr:col>
      <xdr:colOff>377826</xdr:colOff>
      <xdr:row>23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F78D1-25F0-4777-85A4-727CCED20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584200</xdr:colOff>
      <xdr:row>4</xdr:row>
      <xdr:rowOff>0</xdr:rowOff>
    </xdr:from>
    <xdr:to>
      <xdr:col>40</xdr:col>
      <xdr:colOff>47626</xdr:colOff>
      <xdr:row>23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69F4E3-CF99-439D-A244-BB9D5F8F8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69850</xdr:colOff>
      <xdr:row>24</xdr:row>
      <xdr:rowOff>120650</xdr:rowOff>
    </xdr:from>
    <xdr:to>
      <xdr:col>21</xdr:col>
      <xdr:colOff>142876</xdr:colOff>
      <xdr:row>44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F0A30B-6400-49AB-AB38-2E2FB0C60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488950</xdr:colOff>
      <xdr:row>24</xdr:row>
      <xdr:rowOff>114300</xdr:rowOff>
    </xdr:from>
    <xdr:to>
      <xdr:col>30</xdr:col>
      <xdr:colOff>561976</xdr:colOff>
      <xdr:row>44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C67F48-4E7C-46EB-A3DA-BF4C5E3DC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133350</xdr:colOff>
      <xdr:row>24</xdr:row>
      <xdr:rowOff>114300</xdr:rowOff>
    </xdr:from>
    <xdr:to>
      <xdr:col>40</xdr:col>
      <xdr:colOff>206376</xdr:colOff>
      <xdr:row>44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1F37F2C-AFB3-4527-A61D-71778CC0F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53974</xdr:colOff>
      <xdr:row>4</xdr:row>
      <xdr:rowOff>31750</xdr:rowOff>
    </xdr:from>
    <xdr:to>
      <xdr:col>21</xdr:col>
      <xdr:colOff>127000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52914-089C-45B2-BFB8-A56608A134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4</xdr:row>
      <xdr:rowOff>25400</xdr:rowOff>
    </xdr:from>
    <xdr:to>
      <xdr:col>30</xdr:col>
      <xdr:colOff>377826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4F7930-F81F-475E-A181-F5A767CF7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584200</xdr:colOff>
      <xdr:row>4</xdr:row>
      <xdr:rowOff>0</xdr:rowOff>
    </xdr:from>
    <xdr:to>
      <xdr:col>40</xdr:col>
      <xdr:colOff>47626</xdr:colOff>
      <xdr:row>23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6E71C-5878-4717-886C-B0ABC9B6B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69850</xdr:colOff>
      <xdr:row>24</xdr:row>
      <xdr:rowOff>120650</xdr:rowOff>
    </xdr:from>
    <xdr:to>
      <xdr:col>21</xdr:col>
      <xdr:colOff>142876</xdr:colOff>
      <xdr:row>44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787B73-9BBE-4181-A793-B44BF408A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488950</xdr:colOff>
      <xdr:row>24</xdr:row>
      <xdr:rowOff>114300</xdr:rowOff>
    </xdr:from>
    <xdr:to>
      <xdr:col>30</xdr:col>
      <xdr:colOff>561976</xdr:colOff>
      <xdr:row>44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1C6DD5-85CC-46A6-8137-8020DBD3A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133350</xdr:colOff>
      <xdr:row>24</xdr:row>
      <xdr:rowOff>114300</xdr:rowOff>
    </xdr:from>
    <xdr:to>
      <xdr:col>40</xdr:col>
      <xdr:colOff>206376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78AA7C-6024-4E1B-9ED2-7FE6C4D0C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53974</xdr:colOff>
      <xdr:row>4</xdr:row>
      <xdr:rowOff>31750</xdr:rowOff>
    </xdr:from>
    <xdr:to>
      <xdr:col>21</xdr:col>
      <xdr:colOff>127000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A11C4B-B8B3-42D5-B058-47CB387A7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4</xdr:row>
      <xdr:rowOff>25400</xdr:rowOff>
    </xdr:from>
    <xdr:to>
      <xdr:col>30</xdr:col>
      <xdr:colOff>377826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B64F20-5B6F-4EA5-9D13-C4448FB6C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584200</xdr:colOff>
      <xdr:row>4</xdr:row>
      <xdr:rowOff>0</xdr:rowOff>
    </xdr:from>
    <xdr:to>
      <xdr:col>40</xdr:col>
      <xdr:colOff>47626</xdr:colOff>
      <xdr:row>23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A5289A-4666-41BA-874F-705421714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69850</xdr:colOff>
      <xdr:row>24</xdr:row>
      <xdr:rowOff>120650</xdr:rowOff>
    </xdr:from>
    <xdr:to>
      <xdr:col>21</xdr:col>
      <xdr:colOff>142876</xdr:colOff>
      <xdr:row>44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3270C7-1E72-43D0-A419-F5336D1C0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488950</xdr:colOff>
      <xdr:row>24</xdr:row>
      <xdr:rowOff>114300</xdr:rowOff>
    </xdr:from>
    <xdr:to>
      <xdr:col>30</xdr:col>
      <xdr:colOff>561976</xdr:colOff>
      <xdr:row>44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F58067-A540-4E82-9A9A-E7602192F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133350</xdr:colOff>
      <xdr:row>24</xdr:row>
      <xdr:rowOff>114300</xdr:rowOff>
    </xdr:from>
    <xdr:to>
      <xdr:col>40</xdr:col>
      <xdr:colOff>206376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362ED1-B279-4D32-A2D6-9D7331C05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53974</xdr:colOff>
      <xdr:row>4</xdr:row>
      <xdr:rowOff>31750</xdr:rowOff>
    </xdr:from>
    <xdr:to>
      <xdr:col>21</xdr:col>
      <xdr:colOff>127000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F52FDB-240A-4E59-B96A-F191C100B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4</xdr:row>
      <xdr:rowOff>25400</xdr:rowOff>
    </xdr:from>
    <xdr:to>
      <xdr:col>30</xdr:col>
      <xdr:colOff>377826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0FAF9D-AB2C-478C-A31C-C78805E61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584200</xdr:colOff>
      <xdr:row>4</xdr:row>
      <xdr:rowOff>0</xdr:rowOff>
    </xdr:from>
    <xdr:to>
      <xdr:col>40</xdr:col>
      <xdr:colOff>47626</xdr:colOff>
      <xdr:row>23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9831B5-88FF-47B0-AAFE-4A7C03274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69850</xdr:colOff>
      <xdr:row>24</xdr:row>
      <xdr:rowOff>120650</xdr:rowOff>
    </xdr:from>
    <xdr:to>
      <xdr:col>21</xdr:col>
      <xdr:colOff>142876</xdr:colOff>
      <xdr:row>44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8F4335-92B1-457C-9DB5-E00679C81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488950</xdr:colOff>
      <xdr:row>24</xdr:row>
      <xdr:rowOff>114300</xdr:rowOff>
    </xdr:from>
    <xdr:to>
      <xdr:col>30</xdr:col>
      <xdr:colOff>561976</xdr:colOff>
      <xdr:row>44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EB46A0-4EF0-4AD6-A761-4BF15AD15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133350</xdr:colOff>
      <xdr:row>24</xdr:row>
      <xdr:rowOff>114300</xdr:rowOff>
    </xdr:from>
    <xdr:to>
      <xdr:col>40</xdr:col>
      <xdr:colOff>206376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A9C6FF-5EAC-4E07-8C05-D0CB36B78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53974</xdr:colOff>
      <xdr:row>4</xdr:row>
      <xdr:rowOff>31750</xdr:rowOff>
    </xdr:from>
    <xdr:to>
      <xdr:col>21</xdr:col>
      <xdr:colOff>127000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42D474-15A6-4B63-BCB1-D6F5659B6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4</xdr:row>
      <xdr:rowOff>25400</xdr:rowOff>
    </xdr:from>
    <xdr:to>
      <xdr:col>30</xdr:col>
      <xdr:colOff>377826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A2BAAA-C9F1-4C71-9664-1FCDF1489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584200</xdr:colOff>
      <xdr:row>4</xdr:row>
      <xdr:rowOff>0</xdr:rowOff>
    </xdr:from>
    <xdr:to>
      <xdr:col>40</xdr:col>
      <xdr:colOff>47626</xdr:colOff>
      <xdr:row>23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AAE36F-E5BF-47FB-A55E-1F2778A6F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69850</xdr:colOff>
      <xdr:row>24</xdr:row>
      <xdr:rowOff>120650</xdr:rowOff>
    </xdr:from>
    <xdr:to>
      <xdr:col>21</xdr:col>
      <xdr:colOff>142876</xdr:colOff>
      <xdr:row>44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1817EC-46DB-4783-AFFD-A43385295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488950</xdr:colOff>
      <xdr:row>24</xdr:row>
      <xdr:rowOff>114300</xdr:rowOff>
    </xdr:from>
    <xdr:to>
      <xdr:col>30</xdr:col>
      <xdr:colOff>561976</xdr:colOff>
      <xdr:row>44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C0D51E-4ED6-49D9-893A-272171413F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133350</xdr:colOff>
      <xdr:row>24</xdr:row>
      <xdr:rowOff>114300</xdr:rowOff>
    </xdr:from>
    <xdr:to>
      <xdr:col>40</xdr:col>
      <xdr:colOff>206376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309CAD-276A-41E3-A900-CC145AD5D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53974</xdr:colOff>
      <xdr:row>4</xdr:row>
      <xdr:rowOff>31750</xdr:rowOff>
    </xdr:from>
    <xdr:to>
      <xdr:col>21</xdr:col>
      <xdr:colOff>127000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8422E-3976-4E06-9E07-782BF19AB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4</xdr:row>
      <xdr:rowOff>25400</xdr:rowOff>
    </xdr:from>
    <xdr:to>
      <xdr:col>30</xdr:col>
      <xdr:colOff>377826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2B7D89-114D-43D4-8559-E63DE4E9B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584200</xdr:colOff>
      <xdr:row>4</xdr:row>
      <xdr:rowOff>0</xdr:rowOff>
    </xdr:from>
    <xdr:to>
      <xdr:col>40</xdr:col>
      <xdr:colOff>47626</xdr:colOff>
      <xdr:row>23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C5A6E6-C7C6-44BF-B9D3-E50BE8AF8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69850</xdr:colOff>
      <xdr:row>24</xdr:row>
      <xdr:rowOff>120650</xdr:rowOff>
    </xdr:from>
    <xdr:to>
      <xdr:col>21</xdr:col>
      <xdr:colOff>142876</xdr:colOff>
      <xdr:row>44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48851E-F820-4E89-9EF4-D5A3F47A3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488950</xdr:colOff>
      <xdr:row>24</xdr:row>
      <xdr:rowOff>114300</xdr:rowOff>
    </xdr:from>
    <xdr:to>
      <xdr:col>30</xdr:col>
      <xdr:colOff>561976</xdr:colOff>
      <xdr:row>44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E8F2B4-65D8-4273-B485-FEF94CED4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133350</xdr:colOff>
      <xdr:row>24</xdr:row>
      <xdr:rowOff>114300</xdr:rowOff>
    </xdr:from>
    <xdr:to>
      <xdr:col>40</xdr:col>
      <xdr:colOff>206376</xdr:colOff>
      <xdr:row>44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463BB8-D934-4F88-BE9C-E1099C343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lly Grun" refreshedDate="45895.4109537037" createdVersion="8" refreshedVersion="8" minRefreshableVersion="3" recordCount="150" xr:uid="{78659F43-2238-43FB-A94B-B0E365A0D527}">
  <cacheSource type="worksheet">
    <worksheetSource ref="A1:S151" sheet="Data Table"/>
  </cacheSource>
  <cacheFields count="19">
    <cacheField name="Sample Number" numFmtId="0">
      <sharedItems/>
    </cacheField>
    <cacheField name="Buffer" numFmtId="0">
      <sharedItems/>
    </cacheField>
    <cacheField name="pH" numFmtId="0">
      <sharedItems containsSemiMixedTypes="0" containsString="0" containsNumber="1" minValue="6.2" maxValue="7.5"/>
    </cacheField>
    <cacheField name="Excipients" numFmtId="0">
      <sharedItems/>
    </cacheField>
    <cacheField name="Formulation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Condition" numFmtId="0">
      <sharedItems count="3">
        <s v="25 °C"/>
        <s v="40 °C"/>
        <s v="F/T"/>
      </sharedItems>
    </cacheField>
    <cacheField name="Pull Day" numFmtId="0">
      <sharedItems containsNonDate="0" containsDate="1" containsString="0" containsBlank="1" minDate="2025-08-07T00:00:00" maxDate="2025-08-22T00:00:00"/>
    </cacheField>
    <cacheField name="Time Point (months)" numFmtId="0">
      <sharedItems containsBlank="1" containsMixedTypes="1" containsNumber="1" minValue="0" maxValue="3" count="9">
        <n v="0"/>
        <s v="0X"/>
        <n v="0.13"/>
        <n v="0.23"/>
        <n v="0.46"/>
        <m/>
        <s v="5X"/>
        <n v="3"/>
        <n v="0.92" u="1"/>
      </sharedItems>
    </cacheField>
    <cacheField name="Appearance" numFmtId="0">
      <sharedItems containsBlank="1"/>
    </cacheField>
    <cacheField name="Concentration (mg/mL)" numFmtId="164">
      <sharedItems containsString="0" containsBlank="1" containsNumber="1" minValue="3.1030000000000002" maxValue="3.86"/>
    </cacheField>
    <cacheField name="pH2" numFmtId="2">
      <sharedItems containsString="0" containsBlank="1" containsNumber="1" minValue="6.09" maxValue="7.42"/>
    </cacheField>
    <cacheField name="Result ID" numFmtId="0">
      <sharedItems containsString="0" containsBlank="1" containsNumber="1" containsInteger="1" minValue="75231" maxValue="76776"/>
    </cacheField>
    <cacheField name="HMW" numFmtId="0">
      <sharedItems containsString="0" containsBlank="1" containsNumber="1" minValue="1.62" maxValue="2.82"/>
    </cacheField>
    <cacheField name="Main" numFmtId="0">
      <sharedItems containsString="0" containsBlank="1" containsNumber="1" minValue="93.69" maxValue="97.75"/>
    </cacheField>
    <cacheField name="LMW" numFmtId="0">
      <sharedItems containsString="0" containsBlank="1" containsNumber="1" minValue="0.31" maxValue="3.88"/>
    </cacheField>
    <cacheField name="Total Area" numFmtId="0">
      <sharedItems containsString="0" containsBlank="1" containsNumber="1" containsInteger="1" minValue="1089539" maxValue="2025925"/>
    </cacheField>
    <cacheField name="Osmolality (mOsm/kg)" numFmtId="0">
      <sharedItems containsString="0" containsBlank="1" containsNumber="1" containsInteger="1" minValue="82" maxValue="460"/>
    </cacheField>
    <cacheField name="Tm (°C)" numFmtId="0">
      <sharedItems containsString="0" containsBlank="1" containsNumber="1" minValue="68.238418579101563" maxValue="70.875862121582031"/>
    </cacheField>
    <cacheField name="Scattering Onset" numFmtId="0">
      <sharedItems containsString="0" containsBlank="1" containsNumber="1" minValue="67.917045593261719" maxValue="69.9774322509765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lly Grun" refreshedDate="45895.411159490737" createdVersion="8" refreshedVersion="8" minRefreshableVersion="3" recordCount="150" xr:uid="{CD078B24-71E3-4B6C-98DA-6CBD8C73327E}">
  <cacheSource type="worksheet">
    <worksheetSource ref="A1:P151" sheet="Data Table"/>
  </cacheSource>
  <cacheFields count="16">
    <cacheField name="Sample Number" numFmtId="0">
      <sharedItems/>
    </cacheField>
    <cacheField name="Buffer" numFmtId="0">
      <sharedItems/>
    </cacheField>
    <cacheField name="pH" numFmtId="0">
      <sharedItems containsSemiMixedTypes="0" containsString="0" containsNumber="1" minValue="6.2" maxValue="7.5"/>
    </cacheField>
    <cacheField name="Excipients" numFmtId="0">
      <sharedItems/>
    </cacheField>
    <cacheField name="Formulation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Condition" numFmtId="0">
      <sharedItems count="3">
        <s v="25 °C"/>
        <s v="40 °C"/>
        <s v="F/T"/>
      </sharedItems>
    </cacheField>
    <cacheField name="Pull Day" numFmtId="0">
      <sharedItems containsNonDate="0" containsDate="1" containsString="0" containsBlank="1" minDate="2025-08-07T00:00:00" maxDate="2025-08-22T00:00:00"/>
    </cacheField>
    <cacheField name="Time Point (months)" numFmtId="0">
      <sharedItems containsBlank="1" containsMixedTypes="1" containsNumber="1" minValue="0" maxValue="3" count="8">
        <n v="0"/>
        <s v="0X"/>
        <n v="0.13"/>
        <n v="0.23"/>
        <n v="0.46"/>
        <m/>
        <s v="5X"/>
        <n v="3"/>
      </sharedItems>
    </cacheField>
    <cacheField name="Appearance" numFmtId="0">
      <sharedItems containsBlank="1"/>
    </cacheField>
    <cacheField name="Concentration (mg/mL)" numFmtId="164">
      <sharedItems containsString="0" containsBlank="1" containsNumber="1" minValue="3.1030000000000002" maxValue="3.86"/>
    </cacheField>
    <cacheField name="pH2" numFmtId="2">
      <sharedItems containsString="0" containsBlank="1" containsNumber="1" minValue="6.09" maxValue="7.42"/>
    </cacheField>
    <cacheField name="Result ID" numFmtId="0">
      <sharedItems containsString="0" containsBlank="1" containsNumber="1" containsInteger="1" minValue="75231" maxValue="76776"/>
    </cacheField>
    <cacheField name="HMW" numFmtId="0">
      <sharedItems containsString="0" containsBlank="1" containsNumber="1" minValue="1.62" maxValue="2.82"/>
    </cacheField>
    <cacheField name="Main" numFmtId="0">
      <sharedItems containsString="0" containsBlank="1" containsNumber="1" minValue="93.69" maxValue="97.75"/>
    </cacheField>
    <cacheField name="LMW" numFmtId="0">
      <sharedItems containsString="0" containsBlank="1" containsNumber="1" minValue="0.31" maxValue="3.88"/>
    </cacheField>
    <cacheField name="Total Area" numFmtId="0">
      <sharedItems containsString="0" containsBlank="1" containsNumber="1" containsInteger="1" minValue="1089539" maxValue="20259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FD-003-001"/>
    <s v="Phosphate"/>
    <n v="6.5"/>
    <s v="None"/>
    <x v="0"/>
    <x v="0"/>
    <d v="2025-08-07T00:00:00"/>
    <x v="0"/>
    <s v=" Clear, colorless, practically free of particles"/>
    <n v="3.843"/>
    <n v="6.37"/>
    <n v="75231"/>
    <n v="1.94"/>
    <n v="97.75"/>
    <n v="0.31"/>
    <n v="1918688"/>
    <n v="82"/>
    <n v="69.310966491699219"/>
    <n v="68.038360595703125"/>
  </r>
  <r>
    <s v="FD-003-002"/>
    <s v="Phosphate"/>
    <n v="6.5"/>
    <s v="20 mg/mL Arg HCl, 50 mg/mL sucrose"/>
    <x v="1"/>
    <x v="0"/>
    <d v="2025-08-07T00:00:00"/>
    <x v="0"/>
    <s v=" Clear, colorless, practically free of particles"/>
    <n v="3.6240000000000001"/>
    <n v="6.36"/>
    <n v="75236"/>
    <n v="1.94"/>
    <n v="97.71"/>
    <n v="0.35"/>
    <n v="1802190"/>
    <n v="393"/>
    <n v="68.763893127441406"/>
    <n v="69.236007690429688"/>
  </r>
  <r>
    <s v="FD-003-003"/>
    <s v="Phosphate"/>
    <n v="6.5"/>
    <s v="4 mg/mL NaCl, 50 mg/mL sucrose"/>
    <x v="2"/>
    <x v="0"/>
    <d v="2025-08-07T00:00:00"/>
    <x v="0"/>
    <s v=" Clear, colorless, practically free of particles"/>
    <n v="3.6629999999999998"/>
    <n v="6.46"/>
    <n v="75241"/>
    <n v="1.92"/>
    <n v="97.72"/>
    <n v="0.36"/>
    <n v="1823294"/>
    <n v="375"/>
    <n v="70.499885559082031"/>
    <n v="69.626640319824219"/>
  </r>
  <r>
    <s v="FD-003-004"/>
    <s v="Phosphate"/>
    <n v="7"/>
    <s v="None"/>
    <x v="3"/>
    <x v="0"/>
    <d v="2025-08-07T00:00:00"/>
    <x v="0"/>
    <s v=" Clear, colorless, practically free of particles"/>
    <n v="3.7309999999999999"/>
    <n v="6.85"/>
    <n v="75246"/>
    <n v="1.88"/>
    <n v="97.69"/>
    <n v="0.43"/>
    <n v="1879146"/>
    <n v="84"/>
    <n v="70.421920776367188"/>
    <n v="68.44171142578125"/>
  </r>
  <r>
    <s v="FD-003-005"/>
    <s v="Phosphate"/>
    <n v="7"/>
    <s v="20 mg/mL Arg HCl, 50 mg/mL sucrose"/>
    <x v="4"/>
    <x v="0"/>
    <d v="2025-08-07T00:00:00"/>
    <x v="0"/>
    <s v=" Clear, colorless, practically free of particles"/>
    <n v="3.5449999999999999"/>
    <n v="6.88"/>
    <n v="75251"/>
    <n v="1.89"/>
    <n v="97.64"/>
    <n v="0.46"/>
    <n v="1801495"/>
    <n v="408"/>
    <n v="69.794387817382813"/>
    <n v="69.510665893554688"/>
  </r>
  <r>
    <s v="FD-003-006"/>
    <s v="Phosphate"/>
    <n v="7"/>
    <s v="4 mg/mL NaCl, 50 mg/mL sucrose"/>
    <x v="5"/>
    <x v="0"/>
    <d v="2025-08-07T00:00:00"/>
    <x v="0"/>
    <s v=" Clear, colorless, practically free of particles"/>
    <n v="3.6040000000000001"/>
    <n v="6.9"/>
    <n v="75256"/>
    <n v="1.88"/>
    <n v="97.67"/>
    <n v="0.45"/>
    <n v="1818299"/>
    <n v="388"/>
    <n v="70.875862121582031"/>
    <n v="69.29205322265625"/>
  </r>
  <r>
    <s v="FD-003-007"/>
    <s v="Phosphate"/>
    <n v="7.5"/>
    <s v="None"/>
    <x v="6"/>
    <x v="0"/>
    <d v="2025-08-07T00:00:00"/>
    <x v="0"/>
    <s v=" Clear, colorless, practically free of particles"/>
    <n v="3.7770000000000001"/>
    <n v="7.28"/>
    <n v="75261"/>
    <n v="1.98"/>
    <n v="97.61"/>
    <n v="0.41"/>
    <n v="1905061"/>
    <n v="89"/>
    <n v="70.534477233886719"/>
    <n v="68.267715454101563"/>
  </r>
  <r>
    <s v="FD-003-008"/>
    <s v="Phosphate"/>
    <n v="7.5"/>
    <s v="20 mg/mL Arg HCl, 50 mg/mL sucrose"/>
    <x v="7"/>
    <x v="0"/>
    <d v="2025-08-07T00:00:00"/>
    <x v="0"/>
    <s v=" Clear, colorless, practically free of particles"/>
    <n v="3.43"/>
    <n v="7.39"/>
    <n v="75266"/>
    <n v="1.93"/>
    <n v="97.63"/>
    <n v="0.44"/>
    <n v="1733951"/>
    <n v="398"/>
    <n v="70.152694702148438"/>
    <n v="69.232925415039063"/>
  </r>
  <r>
    <s v="FD-003-009"/>
    <s v="Phosphate"/>
    <n v="7.5"/>
    <s v="4 mg/mL NaCl, 50 mg/mL sucrose"/>
    <x v="8"/>
    <x v="0"/>
    <d v="2025-08-07T00:00:00"/>
    <x v="0"/>
    <s v=" Clear, colorless, practically free of particles"/>
    <n v="3.609"/>
    <n v="7.31"/>
    <n v="75281"/>
    <n v="1.99"/>
    <n v="97.59"/>
    <n v="0.41"/>
    <n v="1832519"/>
    <n v="382"/>
    <n v="70.772941589355469"/>
    <n v="68.269973754882813"/>
  </r>
  <r>
    <s v="FD-003-010"/>
    <s v="Citrate"/>
    <n v="6.2"/>
    <s v="None"/>
    <x v="9"/>
    <x v="0"/>
    <d v="2025-08-07T00:00:00"/>
    <x v="0"/>
    <s v=" Clear, colorless, practically free of particles"/>
    <n v="3.7589999999999999"/>
    <n v="6.1"/>
    <n v="75286"/>
    <n v="1.92"/>
    <n v="97.65"/>
    <n v="0.43"/>
    <n v="1922116"/>
    <n v="112"/>
    <n v="68.238418579101563"/>
    <n v="67.917045593261719"/>
  </r>
  <r>
    <s v="FD-003-011"/>
    <s v="Citrate"/>
    <n v="6.2"/>
    <s v="20 mg/mL Arg HCl, 50 mg/mL sucrose"/>
    <x v="10"/>
    <x v="0"/>
    <d v="2025-08-07T00:00:00"/>
    <x v="0"/>
    <s v=" Clear, colorless, practically free of particles"/>
    <n v="3.3769999999999998"/>
    <n v="6.18"/>
    <n v="75291"/>
    <n v="1.89"/>
    <n v="97.67"/>
    <n v="0.44"/>
    <n v="1725074"/>
    <n v="460"/>
    <n v="68.607185363769531"/>
    <n v="69.701889038085938"/>
  </r>
  <r>
    <s v="FD-003-012"/>
    <s v="Citrate"/>
    <n v="6.2"/>
    <s v="4 mg/mL NaCl, 50 mg/mL sucrose"/>
    <x v="11"/>
    <x v="0"/>
    <d v="2025-08-07T00:00:00"/>
    <x v="0"/>
    <s v=" Clear, colorless, practically free of particles"/>
    <n v="3.2749999999999999"/>
    <n v="6.16"/>
    <n v="75296"/>
    <n v="1.87"/>
    <n v="97.7"/>
    <n v="0.43"/>
    <n v="1661751"/>
    <n v="370"/>
    <n v="69.770408630371094"/>
    <n v="69.2012939453125"/>
  </r>
  <r>
    <s v="FD-003-013"/>
    <s v="Citrate"/>
    <n v="6.8"/>
    <s v="None"/>
    <x v="12"/>
    <x v="0"/>
    <d v="2025-08-07T00:00:00"/>
    <x v="0"/>
    <s v=" Clear, colorless, practically free of particles"/>
    <n v="3.6"/>
    <n v="6.7"/>
    <n v="75301"/>
    <n v="1.88"/>
    <n v="97.65"/>
    <n v="0.46"/>
    <n v="1830297"/>
    <n v="93"/>
    <n v="70.0223388671875"/>
    <n v="67.994224548339844"/>
  </r>
  <r>
    <s v="FD-003-014"/>
    <s v="Citrate"/>
    <n v="6.8"/>
    <s v="20 mg/mL Arg HCl, 50 mg/mL sucrose"/>
    <x v="13"/>
    <x v="0"/>
    <d v="2025-08-07T00:00:00"/>
    <x v="0"/>
    <s v=" Clear, colorless, practically free of particles"/>
    <n v="3.24"/>
    <n v="6.78"/>
    <n v="75306"/>
    <n v="1.92"/>
    <n v="97.6"/>
    <n v="0.48"/>
    <n v="1653029"/>
    <n v="415"/>
    <n v="69.352241516113281"/>
    <n v="69.977432250976563"/>
  </r>
  <r>
    <s v="FD-003-015"/>
    <s v="Citrate"/>
    <n v="6.8"/>
    <s v="4 mg/mL NaCl, 50 mg/mL sucrose"/>
    <x v="14"/>
    <x v="0"/>
    <d v="2025-08-07T00:00:00"/>
    <x v="0"/>
    <s v=" Clear, colorless, practically free of particles"/>
    <n v="3.347"/>
    <n v="6.76"/>
    <n v="75311"/>
    <n v="1.91"/>
    <n v="97.59"/>
    <n v="0.5"/>
    <n v="1724543"/>
    <n v="387"/>
    <n v="70.566505432128906"/>
    <n v="69.285751342773438"/>
  </r>
  <r>
    <s v="FD-003-001"/>
    <s v="Phosphate"/>
    <n v="6.5"/>
    <s v="None"/>
    <x v="0"/>
    <x v="1"/>
    <d v="2025-08-07T00:00:00"/>
    <x v="0"/>
    <s v=" Clear, colorless, practically free of particles"/>
    <n v="3.843"/>
    <n v="6.37"/>
    <n v="75231"/>
    <n v="1.94"/>
    <n v="97.75"/>
    <n v="0.31"/>
    <n v="1918688"/>
    <n v="82"/>
    <n v="69.310966491699219"/>
    <n v="68.038360595703125"/>
  </r>
  <r>
    <s v="FD-003-002"/>
    <s v="Phosphate"/>
    <n v="6.5"/>
    <s v="20 mg/mL Arg HCl, 50 mg/mL sucrose"/>
    <x v="1"/>
    <x v="1"/>
    <d v="2025-08-07T00:00:00"/>
    <x v="0"/>
    <s v=" Clear, colorless, practically free of particles"/>
    <n v="3.6240000000000001"/>
    <n v="6.36"/>
    <n v="75236"/>
    <n v="1.94"/>
    <n v="97.71"/>
    <n v="0.35"/>
    <n v="1802190"/>
    <n v="393"/>
    <n v="68.763893127441406"/>
    <n v="69.236007690429688"/>
  </r>
  <r>
    <s v="FD-003-003"/>
    <s v="Phosphate"/>
    <n v="6.5"/>
    <s v="4 mg/mL NaCl, 50 mg/mL sucrose"/>
    <x v="2"/>
    <x v="1"/>
    <d v="2025-08-07T00:00:00"/>
    <x v="0"/>
    <s v=" Clear, colorless, practically free of particles"/>
    <n v="3.6629999999999998"/>
    <n v="6.46"/>
    <n v="75241"/>
    <n v="1.92"/>
    <n v="97.72"/>
    <n v="0.36"/>
    <n v="1823294"/>
    <n v="375"/>
    <n v="70.499885559082031"/>
    <n v="69.626640319824219"/>
  </r>
  <r>
    <s v="FD-003-004"/>
    <s v="Phosphate"/>
    <n v="7"/>
    <s v="None"/>
    <x v="3"/>
    <x v="1"/>
    <d v="2025-08-07T00:00:00"/>
    <x v="0"/>
    <s v=" Clear, colorless, practically free of particles"/>
    <n v="3.7309999999999999"/>
    <n v="6.85"/>
    <n v="75246"/>
    <n v="1.88"/>
    <n v="97.69"/>
    <n v="0.43"/>
    <n v="1879146"/>
    <n v="84"/>
    <n v="70.421920776367188"/>
    <n v="68.44171142578125"/>
  </r>
  <r>
    <s v="FD-003-005"/>
    <s v="Phosphate"/>
    <n v="7"/>
    <s v="20 mg/mL Arg HCl, 50 mg/mL sucrose"/>
    <x v="4"/>
    <x v="1"/>
    <d v="2025-08-07T00:00:00"/>
    <x v="0"/>
    <s v=" Clear, colorless, practically free of particles"/>
    <n v="3.5449999999999999"/>
    <n v="6.88"/>
    <n v="75251"/>
    <n v="1.89"/>
    <n v="97.64"/>
    <n v="0.46"/>
    <n v="1801495"/>
    <n v="408"/>
    <n v="69.794387817382813"/>
    <n v="69.510665893554688"/>
  </r>
  <r>
    <s v="FD-003-006"/>
    <s v="Phosphate"/>
    <n v="7"/>
    <s v="4 mg/mL NaCl, 50 mg/mL sucrose"/>
    <x v="5"/>
    <x v="1"/>
    <d v="2025-08-07T00:00:00"/>
    <x v="0"/>
    <s v=" Clear, colorless, practically free of particles"/>
    <n v="3.6040000000000001"/>
    <n v="6.9"/>
    <n v="75256"/>
    <n v="1.88"/>
    <n v="97.67"/>
    <n v="0.45"/>
    <n v="1818299"/>
    <n v="388"/>
    <n v="70.875862121582031"/>
    <n v="69.29205322265625"/>
  </r>
  <r>
    <s v="FD-003-007"/>
    <s v="Phosphate"/>
    <n v="7.5"/>
    <s v="None"/>
    <x v="6"/>
    <x v="1"/>
    <d v="2025-08-07T00:00:00"/>
    <x v="0"/>
    <s v=" Clear, colorless, practically free of particles"/>
    <n v="3.7770000000000001"/>
    <n v="7.28"/>
    <n v="75261"/>
    <n v="1.98"/>
    <n v="97.61"/>
    <n v="0.41"/>
    <n v="1905061"/>
    <n v="89"/>
    <n v="70.534477233886719"/>
    <n v="68.267715454101563"/>
  </r>
  <r>
    <s v="FD-003-008"/>
    <s v="Phosphate"/>
    <n v="7.5"/>
    <s v="20 mg/mL Arg HCl, 50 mg/mL sucrose"/>
    <x v="7"/>
    <x v="1"/>
    <d v="2025-08-07T00:00:00"/>
    <x v="0"/>
    <s v=" Clear, colorless, practically free of particles"/>
    <n v="3.43"/>
    <n v="7.39"/>
    <n v="75266"/>
    <n v="1.93"/>
    <n v="97.63"/>
    <n v="0.44"/>
    <n v="1733951"/>
    <n v="398"/>
    <n v="70.152694702148438"/>
    <n v="69.232925415039063"/>
  </r>
  <r>
    <s v="FD-003-009"/>
    <s v="Phosphate"/>
    <n v="7.5"/>
    <s v="4 mg/mL NaCl, 50 mg/mL sucrose"/>
    <x v="8"/>
    <x v="1"/>
    <d v="2025-08-07T00:00:00"/>
    <x v="0"/>
    <s v=" Clear, colorless, practically free of particles"/>
    <n v="3.609"/>
    <n v="7.31"/>
    <n v="75281"/>
    <n v="1.99"/>
    <n v="97.59"/>
    <n v="0.41"/>
    <n v="1832519"/>
    <n v="382"/>
    <n v="70.772941589355469"/>
    <n v="68.269973754882813"/>
  </r>
  <r>
    <s v="FD-003-010"/>
    <s v="Citrate"/>
    <n v="6.2"/>
    <s v="None"/>
    <x v="9"/>
    <x v="1"/>
    <d v="2025-08-07T00:00:00"/>
    <x v="0"/>
    <s v=" Clear, colorless, practically free of particles"/>
    <n v="3.7589999999999999"/>
    <n v="6.1"/>
    <n v="75286"/>
    <n v="1.92"/>
    <n v="97.65"/>
    <n v="0.43"/>
    <n v="1922116"/>
    <n v="112"/>
    <n v="68.238418579101563"/>
    <n v="67.917045593261719"/>
  </r>
  <r>
    <s v="FD-003-011"/>
    <s v="Citrate"/>
    <n v="6.2"/>
    <s v="20 mg/mL Arg HCl, 50 mg/mL sucrose"/>
    <x v="10"/>
    <x v="1"/>
    <d v="2025-08-07T00:00:00"/>
    <x v="0"/>
    <s v=" Clear, colorless, practically free of particles"/>
    <n v="3.3769999999999998"/>
    <n v="6.18"/>
    <n v="75291"/>
    <n v="1.89"/>
    <n v="97.67"/>
    <n v="0.44"/>
    <n v="1725074"/>
    <n v="460"/>
    <n v="68.607185363769531"/>
    <n v="69.701889038085938"/>
  </r>
  <r>
    <s v="FD-003-012"/>
    <s v="Citrate"/>
    <n v="6.2"/>
    <s v="4 mg/mL NaCl, 50 mg/mL sucrose"/>
    <x v="11"/>
    <x v="1"/>
    <d v="2025-08-07T00:00:00"/>
    <x v="0"/>
    <s v=" Clear, colorless, practically free of particles"/>
    <n v="3.2749999999999999"/>
    <n v="6.16"/>
    <n v="75296"/>
    <n v="1.87"/>
    <n v="97.7"/>
    <n v="0.43"/>
    <n v="1661751"/>
    <n v="370"/>
    <n v="69.770408630371094"/>
    <n v="69.2012939453125"/>
  </r>
  <r>
    <s v="FD-003-013"/>
    <s v="Citrate"/>
    <n v="6.8"/>
    <s v="None"/>
    <x v="12"/>
    <x v="1"/>
    <d v="2025-08-07T00:00:00"/>
    <x v="0"/>
    <s v=" Clear, colorless, practically free of particles"/>
    <n v="3.6"/>
    <n v="6.7"/>
    <n v="75301"/>
    <n v="1.88"/>
    <n v="97.65"/>
    <n v="0.46"/>
    <n v="1830297"/>
    <n v="93"/>
    <n v="70.0223388671875"/>
    <n v="67.994224548339844"/>
  </r>
  <r>
    <s v="FD-003-014"/>
    <s v="Citrate"/>
    <n v="6.8"/>
    <s v="20 mg/mL Arg HCl, 50 mg/mL sucrose"/>
    <x v="13"/>
    <x v="1"/>
    <d v="2025-08-07T00:00:00"/>
    <x v="0"/>
    <s v=" Clear, colorless, practically free of particles"/>
    <n v="3.24"/>
    <n v="6.78"/>
    <n v="75306"/>
    <n v="1.92"/>
    <n v="97.6"/>
    <n v="0.48"/>
    <n v="1653029"/>
    <n v="415"/>
    <n v="69.352241516113281"/>
    <n v="69.977432250976563"/>
  </r>
  <r>
    <s v="FD-003-015"/>
    <s v="Citrate"/>
    <n v="6.8"/>
    <s v="4 mg/mL NaCl, 50 mg/mL sucrose"/>
    <x v="14"/>
    <x v="1"/>
    <d v="2025-08-07T00:00:00"/>
    <x v="0"/>
    <s v=" Clear, colorless, practically free of particles"/>
    <n v="3.347"/>
    <n v="6.76"/>
    <n v="75311"/>
    <n v="1.91"/>
    <n v="97.59"/>
    <n v="0.5"/>
    <n v="1724543"/>
    <n v="387"/>
    <n v="70.566505432128906"/>
    <n v="69.285751342773438"/>
  </r>
  <r>
    <s v="FD-003-001"/>
    <s v="Phosphate"/>
    <n v="6.5"/>
    <s v="None"/>
    <x v="0"/>
    <x v="2"/>
    <d v="2025-08-07T00:00:00"/>
    <x v="1"/>
    <s v=" Clear, colorless, practically free of particles"/>
    <n v="3.843"/>
    <n v="6.37"/>
    <n v="75231"/>
    <n v="1.94"/>
    <n v="97.75"/>
    <n v="0.31"/>
    <n v="1918688"/>
    <n v="82"/>
    <n v="69.310966491699219"/>
    <n v="68.038360595703125"/>
  </r>
  <r>
    <s v="FD-003-002"/>
    <s v="Phosphate"/>
    <n v="6.5"/>
    <s v="20 mg/mL Arg HCl, 50 mg/mL sucrose"/>
    <x v="1"/>
    <x v="2"/>
    <d v="2025-08-07T00:00:00"/>
    <x v="1"/>
    <s v=" Clear, colorless, practically free of particles"/>
    <n v="3.6240000000000001"/>
    <n v="6.36"/>
    <n v="75236"/>
    <n v="1.94"/>
    <n v="97.71"/>
    <n v="0.35"/>
    <n v="1802190"/>
    <n v="393"/>
    <n v="68.763893127441406"/>
    <n v="69.236007690429688"/>
  </r>
  <r>
    <s v="FD-003-003"/>
    <s v="Phosphate"/>
    <n v="6.5"/>
    <s v="4 mg/mL NaCl, 50 mg/mL sucrose"/>
    <x v="2"/>
    <x v="2"/>
    <d v="2025-08-07T00:00:00"/>
    <x v="1"/>
    <s v=" Clear, colorless, practically free of particles"/>
    <n v="3.6629999999999998"/>
    <n v="6.46"/>
    <n v="75241"/>
    <n v="1.92"/>
    <n v="97.72"/>
    <n v="0.36"/>
    <n v="1823294"/>
    <n v="375"/>
    <n v="70.499885559082031"/>
    <n v="69.626640319824219"/>
  </r>
  <r>
    <s v="FD-003-004"/>
    <s v="Phosphate"/>
    <n v="7"/>
    <s v="None"/>
    <x v="3"/>
    <x v="2"/>
    <d v="2025-08-07T00:00:00"/>
    <x v="1"/>
    <s v=" Clear, colorless, practically free of particles"/>
    <n v="3.7309999999999999"/>
    <n v="6.85"/>
    <n v="75246"/>
    <n v="1.88"/>
    <n v="97.69"/>
    <n v="0.43"/>
    <n v="1879146"/>
    <n v="84"/>
    <n v="70.421920776367188"/>
    <n v="68.44171142578125"/>
  </r>
  <r>
    <s v="FD-003-005"/>
    <s v="Phosphate"/>
    <n v="7"/>
    <s v="20 mg/mL Arg HCl, 50 mg/mL sucrose"/>
    <x v="4"/>
    <x v="2"/>
    <d v="2025-08-07T00:00:00"/>
    <x v="1"/>
    <s v=" Clear, colorless, practically free of particles"/>
    <n v="3.5449999999999999"/>
    <n v="6.88"/>
    <n v="75251"/>
    <n v="1.89"/>
    <n v="97.64"/>
    <n v="0.46"/>
    <n v="1801495"/>
    <n v="408"/>
    <n v="69.794387817382813"/>
    <n v="69.510665893554688"/>
  </r>
  <r>
    <s v="FD-003-006"/>
    <s v="Phosphate"/>
    <n v="7"/>
    <s v="4 mg/mL NaCl, 50 mg/mL sucrose"/>
    <x v="5"/>
    <x v="2"/>
    <d v="2025-08-07T00:00:00"/>
    <x v="1"/>
    <s v=" Clear, colorless, practically free of particles"/>
    <n v="3.6040000000000001"/>
    <n v="6.9"/>
    <n v="75256"/>
    <n v="1.88"/>
    <n v="97.67"/>
    <n v="0.45"/>
    <n v="1818299"/>
    <n v="388"/>
    <n v="70.875862121582031"/>
    <n v="69.29205322265625"/>
  </r>
  <r>
    <s v="FD-003-007"/>
    <s v="Phosphate"/>
    <n v="7.5"/>
    <s v="None"/>
    <x v="6"/>
    <x v="2"/>
    <d v="2025-08-07T00:00:00"/>
    <x v="1"/>
    <s v=" Clear, colorless, practically free of particles"/>
    <n v="3.7770000000000001"/>
    <n v="7.28"/>
    <n v="75261"/>
    <n v="1.98"/>
    <n v="97.61"/>
    <n v="0.41"/>
    <n v="1905061"/>
    <n v="89"/>
    <n v="70.534477233886719"/>
    <n v="68.267715454101563"/>
  </r>
  <r>
    <s v="FD-003-008"/>
    <s v="Phosphate"/>
    <n v="7.5"/>
    <s v="20 mg/mL Arg HCl, 50 mg/mL sucrose"/>
    <x v="7"/>
    <x v="2"/>
    <d v="2025-08-07T00:00:00"/>
    <x v="1"/>
    <s v=" Clear, colorless, practically free of particles"/>
    <n v="3.43"/>
    <n v="7.39"/>
    <n v="75266"/>
    <n v="1.93"/>
    <n v="97.63"/>
    <n v="0.44"/>
    <n v="1733951"/>
    <n v="398"/>
    <n v="70.152694702148438"/>
    <n v="69.232925415039063"/>
  </r>
  <r>
    <s v="FD-003-009"/>
    <s v="Phosphate"/>
    <n v="7.5"/>
    <s v="4 mg/mL NaCl, 50 mg/mL sucrose"/>
    <x v="8"/>
    <x v="2"/>
    <d v="2025-08-07T00:00:00"/>
    <x v="1"/>
    <s v=" Clear, colorless, practically free of particles"/>
    <n v="3.609"/>
    <n v="7.31"/>
    <n v="75281"/>
    <n v="1.99"/>
    <n v="97.59"/>
    <n v="0.41"/>
    <n v="1832519"/>
    <n v="382"/>
    <n v="70.772941589355469"/>
    <n v="68.269973754882813"/>
  </r>
  <r>
    <s v="FD-003-010"/>
    <s v="Citrate"/>
    <n v="6.2"/>
    <s v="None"/>
    <x v="9"/>
    <x v="2"/>
    <d v="2025-08-07T00:00:00"/>
    <x v="1"/>
    <s v=" Clear, colorless, practically free of particles"/>
    <n v="3.7589999999999999"/>
    <n v="6.1"/>
    <n v="75286"/>
    <n v="1.92"/>
    <n v="97.65"/>
    <n v="0.43"/>
    <n v="1922116"/>
    <n v="112"/>
    <n v="68.238418579101563"/>
    <n v="67.917045593261719"/>
  </r>
  <r>
    <s v="FD-003-011"/>
    <s v="Citrate"/>
    <n v="6.2"/>
    <s v="20 mg/mL Arg HCl, 50 mg/mL sucrose"/>
    <x v="10"/>
    <x v="2"/>
    <d v="2025-08-07T00:00:00"/>
    <x v="1"/>
    <s v=" Clear, colorless, practically free of particles"/>
    <n v="3.3769999999999998"/>
    <n v="6.18"/>
    <n v="75291"/>
    <n v="1.89"/>
    <n v="97.67"/>
    <n v="0.44"/>
    <n v="1725074"/>
    <n v="460"/>
    <n v="68.607185363769531"/>
    <n v="69.701889038085938"/>
  </r>
  <r>
    <s v="FD-003-012"/>
    <s v="Citrate"/>
    <n v="6.2"/>
    <s v="4 mg/mL NaCl, 50 mg/mL sucrose"/>
    <x v="11"/>
    <x v="2"/>
    <d v="2025-08-07T00:00:00"/>
    <x v="1"/>
    <s v=" Clear, colorless, practically free of particles"/>
    <n v="3.2749999999999999"/>
    <n v="6.16"/>
    <n v="75296"/>
    <n v="1.87"/>
    <n v="97.7"/>
    <n v="0.43"/>
    <n v="1661751"/>
    <n v="370"/>
    <n v="69.770408630371094"/>
    <n v="69.2012939453125"/>
  </r>
  <r>
    <s v="FD-003-013"/>
    <s v="Citrate"/>
    <n v="6.8"/>
    <s v="None"/>
    <x v="12"/>
    <x v="2"/>
    <d v="2025-08-07T00:00:00"/>
    <x v="1"/>
    <s v=" Clear, colorless, practically free of particles"/>
    <n v="3.6"/>
    <n v="6.7"/>
    <n v="75301"/>
    <n v="1.88"/>
    <n v="97.65"/>
    <n v="0.46"/>
    <n v="1830297"/>
    <n v="93"/>
    <n v="70.0223388671875"/>
    <n v="67.994224548339844"/>
  </r>
  <r>
    <s v="FD-003-014"/>
    <s v="Citrate"/>
    <n v="6.8"/>
    <s v="20 mg/mL Arg HCl, 50 mg/mL sucrose"/>
    <x v="13"/>
    <x v="2"/>
    <d v="2025-08-07T00:00:00"/>
    <x v="1"/>
    <s v=" Clear, colorless, practically free of particles"/>
    <n v="3.24"/>
    <n v="6.78"/>
    <n v="75306"/>
    <n v="1.92"/>
    <n v="97.6"/>
    <n v="0.48"/>
    <n v="1653029"/>
    <n v="415"/>
    <n v="69.352241516113281"/>
    <n v="69.977432250976563"/>
  </r>
  <r>
    <s v="FD-003-015"/>
    <s v="Citrate"/>
    <n v="6.8"/>
    <s v="4 mg/mL NaCl, 50 mg/mL sucrose"/>
    <x v="14"/>
    <x v="2"/>
    <d v="2025-08-07T00:00:00"/>
    <x v="1"/>
    <s v=" Clear, colorless, practically free of particles"/>
    <n v="3.347"/>
    <n v="6.76"/>
    <n v="75311"/>
    <n v="1.91"/>
    <n v="97.59"/>
    <n v="0.5"/>
    <n v="1724543"/>
    <n v="387"/>
    <n v="70.566505432128906"/>
    <n v="69.285751342773438"/>
  </r>
  <r>
    <s v="FD-003-016"/>
    <s v="Phosphate"/>
    <n v="6.5"/>
    <s v="None"/>
    <x v="0"/>
    <x v="1"/>
    <d v="2025-08-11T00:00:00"/>
    <x v="2"/>
    <s v=" Clear, colorless, practically free of particles"/>
    <n v="3.8519999999999999"/>
    <n v="6.42"/>
    <n v="75442"/>
    <n v="2.5299999999999998"/>
    <n v="96.71"/>
    <n v="0.76"/>
    <n v="1916887"/>
    <m/>
    <m/>
    <m/>
  </r>
  <r>
    <s v="FD-003-017"/>
    <s v="Phosphate"/>
    <n v="6.5"/>
    <s v="20 mg/mL Arg HCl, 50 mg/mL sucrose"/>
    <x v="1"/>
    <x v="1"/>
    <d v="2025-08-11T00:00:00"/>
    <x v="2"/>
    <s v=" Clear, colorless, practically free of particles"/>
    <n v="3.6150000000000002"/>
    <n v="6.36"/>
    <n v="75447"/>
    <n v="2.19"/>
    <n v="97.08"/>
    <n v="0.73"/>
    <n v="1799329"/>
    <m/>
    <m/>
    <m/>
  </r>
  <r>
    <s v="FD-003-018"/>
    <s v="Phosphate"/>
    <n v="6.5"/>
    <s v="4 mg/mL NaCl, 50 mg/mL sucrose"/>
    <x v="2"/>
    <x v="1"/>
    <d v="2025-08-11T00:00:00"/>
    <x v="2"/>
    <s v=" Clear, colorless, practically free of particles"/>
    <n v="3.6360000000000001"/>
    <n v="6.46"/>
    <n v="75452"/>
    <n v="2.41"/>
    <n v="96.52"/>
    <n v="1.08"/>
    <n v="1820526"/>
    <m/>
    <m/>
    <m/>
  </r>
  <r>
    <s v="FD-003-019"/>
    <s v="Phosphate"/>
    <n v="7"/>
    <s v="None"/>
    <x v="3"/>
    <x v="1"/>
    <d v="2025-08-11T00:00:00"/>
    <x v="2"/>
    <s v=" Clear, colorless, practically free of particles"/>
    <n v="3.7440000000000002"/>
    <n v="6.85"/>
    <n v="75457"/>
    <n v="2.67"/>
    <n v="96.13"/>
    <n v="1.2"/>
    <n v="1875870"/>
    <m/>
    <m/>
    <m/>
  </r>
  <r>
    <s v="FD-003-020"/>
    <s v="Phosphate"/>
    <n v="7"/>
    <s v="20 mg/mL Arg HCl, 50 mg/mL sucrose"/>
    <x v="4"/>
    <x v="1"/>
    <d v="2025-08-11T00:00:00"/>
    <x v="2"/>
    <s v=" Clear, colorless, practically free of particles"/>
    <n v="3.5329999999999999"/>
    <n v="6.89"/>
    <n v="75462"/>
    <n v="2.27"/>
    <n v="96.82"/>
    <n v="0.92"/>
    <n v="1785565"/>
    <m/>
    <m/>
    <m/>
  </r>
  <r>
    <s v="FD-003-021"/>
    <s v="Phosphate"/>
    <n v="7"/>
    <s v="4 mg/mL NaCl, 50 mg/mL sucrose"/>
    <x v="5"/>
    <x v="1"/>
    <d v="2025-08-11T00:00:00"/>
    <x v="2"/>
    <s v=" Clear, colorless, practically free of particles"/>
    <n v="3.59"/>
    <n v="6.91"/>
    <n v="75467"/>
    <n v="2.54"/>
    <n v="95.79"/>
    <n v="1.67"/>
    <n v="1806519"/>
    <m/>
    <m/>
    <m/>
  </r>
  <r>
    <s v="FD-003-022"/>
    <s v="Phosphate"/>
    <n v="7.5"/>
    <s v="None"/>
    <x v="6"/>
    <x v="1"/>
    <d v="2025-08-11T00:00:00"/>
    <x v="2"/>
    <s v=" Clear, colorless, practically free of particles"/>
    <n v="3.7120000000000002"/>
    <n v="7.3"/>
    <n v="75472"/>
    <n v="2.82"/>
    <n v="95.38"/>
    <n v="1.8"/>
    <n v="1887063"/>
    <m/>
    <m/>
    <m/>
  </r>
  <r>
    <s v="FD-003-023"/>
    <s v="Phosphate"/>
    <n v="7.5"/>
    <s v="20 mg/mL Arg HCl, 50 mg/mL sucrose"/>
    <x v="7"/>
    <x v="1"/>
    <d v="2025-08-11T00:00:00"/>
    <x v="2"/>
    <s v=" Clear, colorless, practically free of particles"/>
    <n v="3.423"/>
    <n v="7.38"/>
    <n v="75477"/>
    <n v="2.4"/>
    <n v="96.22"/>
    <n v="1.38"/>
    <n v="1735803"/>
    <m/>
    <m/>
    <m/>
  </r>
  <r>
    <s v="FD-003-024"/>
    <s v="Phosphate"/>
    <n v="7.5"/>
    <s v="4 mg/mL NaCl, 50 mg/mL sucrose"/>
    <x v="8"/>
    <x v="1"/>
    <d v="2025-08-11T00:00:00"/>
    <x v="2"/>
    <s v=" Clear, colorless, practically free of particles"/>
    <n v="3.613"/>
    <n v="7.32"/>
    <n v="75492"/>
    <n v="2.64"/>
    <n v="95.13"/>
    <n v="2.23"/>
    <n v="1837366"/>
    <m/>
    <m/>
    <m/>
  </r>
  <r>
    <s v="FD-003-025"/>
    <s v="Citrate"/>
    <n v="6.2"/>
    <s v="None"/>
    <x v="9"/>
    <x v="1"/>
    <d v="2025-08-11T00:00:00"/>
    <x v="2"/>
    <s v=" Clear, colorless, practically free of particles"/>
    <n v="3.7389999999999999"/>
    <n v="6.09"/>
    <n v="75497"/>
    <n v="2.27"/>
    <n v="97.06"/>
    <n v="0.67"/>
    <n v="1929969"/>
    <m/>
    <m/>
    <m/>
  </r>
  <r>
    <s v="FD-003-026"/>
    <s v="Citrate"/>
    <n v="6.2"/>
    <s v="20 mg/mL Arg HCl, 50 mg/mL sucrose"/>
    <x v="10"/>
    <x v="1"/>
    <d v="2025-08-11T00:00:00"/>
    <x v="2"/>
    <s v=" Clear, colorless, practically free of particles"/>
    <n v="3.3690000000000002"/>
    <n v="6.2"/>
    <n v="75502"/>
    <n v="2.1"/>
    <n v="97.24"/>
    <n v="0.67"/>
    <n v="1730262"/>
    <m/>
    <m/>
    <m/>
  </r>
  <r>
    <s v="FD-003-027"/>
    <s v="Citrate"/>
    <n v="6.2"/>
    <s v="4 mg/mL NaCl, 50 mg/mL sucrose"/>
    <x v="11"/>
    <x v="1"/>
    <d v="2025-08-11T00:00:00"/>
    <x v="2"/>
    <s v=" Clear, colorless, practically free of particles"/>
    <n v="3.2509999999999999"/>
    <n v="6.16"/>
    <n v="75507"/>
    <n v="2.17"/>
    <n v="97.13"/>
    <n v="0.7"/>
    <n v="1673057"/>
    <m/>
    <m/>
    <m/>
  </r>
  <r>
    <s v="FD-003-028"/>
    <s v="Citrate"/>
    <n v="6.8"/>
    <s v="None"/>
    <x v="12"/>
    <x v="1"/>
    <d v="2025-08-11T00:00:00"/>
    <x v="2"/>
    <s v=" Clear, colorless, practically free of particles"/>
    <n v="3.5630000000000002"/>
    <n v="6.73"/>
    <n v="75512"/>
    <n v="2.41"/>
    <n v="96.86"/>
    <n v="0.73"/>
    <n v="1823839"/>
    <m/>
    <m/>
    <m/>
  </r>
  <r>
    <s v="FD-003-029"/>
    <s v="Citrate"/>
    <n v="6.8"/>
    <s v="20 mg/mL Arg HCl, 50 mg/mL sucrose"/>
    <x v="13"/>
    <x v="1"/>
    <d v="2025-08-11T00:00:00"/>
    <x v="2"/>
    <s v=" Clear, colorless, practically free of particles"/>
    <n v="3.22"/>
    <n v="6.79"/>
    <n v="75517"/>
    <n v="2.1800000000000002"/>
    <n v="97.01"/>
    <n v="0.81"/>
    <n v="1647529"/>
    <m/>
    <m/>
    <m/>
  </r>
  <r>
    <s v="FD-003-030"/>
    <s v="Citrate"/>
    <n v="6.8"/>
    <s v="4 mg/mL NaCl, 50 mg/mL sucrose"/>
    <x v="14"/>
    <x v="1"/>
    <d v="2025-08-11T00:00:00"/>
    <x v="2"/>
    <s v=" Clear, colorless, practically free of particles"/>
    <n v="3.3490000000000002"/>
    <n v="6.79"/>
    <n v="75522"/>
    <n v="2.2599999999999998"/>
    <n v="97"/>
    <n v="0.74"/>
    <n v="1731306"/>
    <m/>
    <m/>
    <m/>
  </r>
  <r>
    <s v="FD-003-031"/>
    <s v="Phosphate"/>
    <n v="6.5"/>
    <s v="None"/>
    <x v="0"/>
    <x v="0"/>
    <d v="2025-08-14T00:00:00"/>
    <x v="3"/>
    <s v=" Clear, colorless, practically free of particles"/>
    <n v="3.8340000000000001"/>
    <n v="6.37"/>
    <n v="75799"/>
    <n v="2.2200000000000002"/>
    <n v="97.32"/>
    <n v="0.45"/>
    <n v="1919907"/>
    <m/>
    <m/>
    <m/>
  </r>
  <r>
    <s v="FD-003-032"/>
    <s v="Phosphate"/>
    <n v="6.5"/>
    <s v="20 mg/mL Arg HCl, 50 mg/mL sucrose"/>
    <x v="1"/>
    <x v="0"/>
    <d v="2025-08-14T00:00:00"/>
    <x v="3"/>
    <s v=" Clear, colorless, practically free of particles"/>
    <n v="3.5950000000000002"/>
    <n v="6.38"/>
    <n v="75804"/>
    <n v="1.99"/>
    <n v="97.63"/>
    <n v="0.38"/>
    <n v="1802400"/>
    <m/>
    <m/>
    <m/>
  </r>
  <r>
    <s v="FD-003-033"/>
    <s v="Phosphate"/>
    <n v="6.5"/>
    <s v="4 mg/mL NaCl, 50 mg/mL sucrose"/>
    <x v="2"/>
    <x v="0"/>
    <d v="2025-08-14T00:00:00"/>
    <x v="3"/>
    <s v=" Clear, colorless, practically free of particles"/>
    <n v="3.6059999999999999"/>
    <n v="6.46"/>
    <n v="75809"/>
    <n v="2.14"/>
    <n v="97.33"/>
    <n v="0.53"/>
    <n v="1831976"/>
    <m/>
    <m/>
    <m/>
  </r>
  <r>
    <s v="FD-003-034"/>
    <s v="Phosphate"/>
    <n v="7"/>
    <s v="None"/>
    <x v="3"/>
    <x v="0"/>
    <d v="2025-08-14T00:00:00"/>
    <x v="3"/>
    <s v=" Clear, colorless, practically free of particles"/>
    <n v="3.71"/>
    <n v="6.86"/>
    <n v="75814"/>
    <n v="2.19"/>
    <n v="97.33"/>
    <n v="0.48"/>
    <n v="1885757"/>
    <m/>
    <m/>
    <m/>
  </r>
  <r>
    <s v="FD-003-035"/>
    <s v="Phosphate"/>
    <n v="7"/>
    <s v="20 mg/mL Arg HCl, 50 mg/mL sucrose"/>
    <x v="4"/>
    <x v="0"/>
    <d v="2025-08-14T00:00:00"/>
    <x v="3"/>
    <s v=" Clear, colorless, practically free of particles"/>
    <n v="3.56"/>
    <n v="6.87"/>
    <n v="75819"/>
    <n v="2.0499999999999998"/>
    <n v="97.45"/>
    <n v="0.5"/>
    <n v="1800474"/>
    <m/>
    <m/>
    <m/>
  </r>
  <r>
    <s v="FD-003-036"/>
    <s v="Phosphate"/>
    <n v="7"/>
    <s v="4 mg/mL NaCl, 50 mg/mL sucrose"/>
    <x v="5"/>
    <x v="0"/>
    <d v="2025-08-14T00:00:00"/>
    <x v="3"/>
    <s v=" Clear, colorless, practically free of particles"/>
    <n v="3.59"/>
    <n v="6.91"/>
    <n v="75824"/>
    <n v="2.17"/>
    <n v="97.3"/>
    <n v="0.52"/>
    <n v="1817683"/>
    <m/>
    <m/>
    <m/>
  </r>
  <r>
    <s v="FD-003-037"/>
    <s v="Phosphate"/>
    <n v="7.5"/>
    <s v="None"/>
    <x v="6"/>
    <x v="0"/>
    <d v="2025-08-14T00:00:00"/>
    <x v="3"/>
    <s v=" Clear, colorless, practically free of particles"/>
    <n v="3.746"/>
    <n v="7.3"/>
    <n v="75829"/>
    <n v="2.36"/>
    <n v="97"/>
    <n v="0.64"/>
    <n v="1909343"/>
    <m/>
    <m/>
    <m/>
  </r>
  <r>
    <s v="FD-003-038"/>
    <s v="Phosphate"/>
    <n v="7.5"/>
    <s v="20 mg/mL Arg HCl, 50 mg/mL sucrose"/>
    <x v="7"/>
    <x v="0"/>
    <d v="2025-08-14T00:00:00"/>
    <x v="3"/>
    <s v=" Clear, colorless, practically free of particles"/>
    <n v="3.41"/>
    <n v="7.41"/>
    <n v="75845"/>
    <n v="2.16"/>
    <n v="97.21"/>
    <n v="0.63"/>
    <n v="1738436"/>
    <m/>
    <m/>
    <m/>
  </r>
  <r>
    <s v="FD-003-039"/>
    <s v="Phosphate"/>
    <n v="7.5"/>
    <s v="4 mg/mL NaCl, 50 mg/mL sucrose"/>
    <x v="8"/>
    <x v="0"/>
    <d v="2025-08-14T00:00:00"/>
    <x v="3"/>
    <s v="Clear, colorless, one long white fibrous particle ~2-3 mm"/>
    <n v="3.6040000000000001"/>
    <n v="7.32"/>
    <n v="75868"/>
    <n v="2.25"/>
    <n v="97.13"/>
    <n v="0.62"/>
    <n v="1840847"/>
    <m/>
    <m/>
    <m/>
  </r>
  <r>
    <s v="FD-003-040"/>
    <s v="Citrate"/>
    <n v="6.2"/>
    <s v="None"/>
    <x v="9"/>
    <x v="0"/>
    <d v="2025-08-14T00:00:00"/>
    <x v="3"/>
    <s v=" Clear, colorless, practically free of particles"/>
    <n v="3.7290000000000001"/>
    <n v="6.1"/>
    <n v="75873"/>
    <n v="2.06"/>
    <n v="97.49"/>
    <n v="0.45"/>
    <n v="1926661"/>
    <m/>
    <m/>
    <m/>
  </r>
  <r>
    <s v="FD-003-041"/>
    <s v="Citrate"/>
    <n v="6.2"/>
    <s v="20 mg/mL Arg HCl, 50 mg/mL sucrose"/>
    <x v="10"/>
    <x v="0"/>
    <d v="2025-08-14T00:00:00"/>
    <x v="3"/>
    <s v=" Clear, colorless, practically free of particles"/>
    <n v="3.3439999999999999"/>
    <n v="6.19"/>
    <n v="75878"/>
    <n v="1.97"/>
    <n v="97.5"/>
    <n v="0.54"/>
    <n v="1739526"/>
    <m/>
    <m/>
    <m/>
  </r>
  <r>
    <s v="FD-003-042"/>
    <s v="Citrate"/>
    <n v="6.2"/>
    <s v="4 mg/mL NaCl, 50 mg/mL sucrose"/>
    <x v="11"/>
    <x v="0"/>
    <d v="2025-08-14T00:00:00"/>
    <x v="3"/>
    <s v=" Clear, colorless, practically free of particles"/>
    <n v="3.2360000000000002"/>
    <n v="6.16"/>
    <n v="75883"/>
    <n v="2.02"/>
    <n v="97.47"/>
    <n v="0.51"/>
    <n v="1680240"/>
    <m/>
    <m/>
    <m/>
  </r>
  <r>
    <s v="FD-003-043"/>
    <s v="Citrate"/>
    <n v="6.8"/>
    <s v="None"/>
    <x v="12"/>
    <x v="0"/>
    <d v="2025-08-14T00:00:00"/>
    <x v="3"/>
    <s v=" Clear, colorless, practically free of particles"/>
    <n v="3.5609999999999999"/>
    <n v="6.71"/>
    <n v="75888"/>
    <n v="2.15"/>
    <n v="97.39"/>
    <n v="0.46"/>
    <n v="1846774"/>
    <m/>
    <m/>
    <m/>
  </r>
  <r>
    <s v="FD-003-044"/>
    <s v="Citrate"/>
    <n v="6.8"/>
    <s v="20 mg/mL Arg HCl, 50 mg/mL sucrose"/>
    <x v="13"/>
    <x v="0"/>
    <d v="2025-08-14T00:00:00"/>
    <x v="3"/>
    <s v=" Clear, colorless, practically free of particles"/>
    <n v="3.2210000000000001"/>
    <n v="6.79"/>
    <n v="75894"/>
    <n v="2.1"/>
    <n v="97.39"/>
    <n v="0.51"/>
    <n v="1543208"/>
    <m/>
    <m/>
    <m/>
  </r>
  <r>
    <s v="FD-003-045"/>
    <s v="Citrate"/>
    <n v="6.8"/>
    <s v="4 mg/mL NaCl, 50 mg/mL sucrose"/>
    <x v="14"/>
    <x v="0"/>
    <d v="2025-08-14T00:00:00"/>
    <x v="3"/>
    <s v=" Clear, colorless, practically free of particles"/>
    <n v="3.3340000000000001"/>
    <n v="6.7"/>
    <n v="75899"/>
    <n v="2.11"/>
    <n v="97.34"/>
    <n v="0.55000000000000004"/>
    <n v="1699110"/>
    <m/>
    <m/>
    <m/>
  </r>
  <r>
    <s v="FD-003-046"/>
    <s v="Phosphate"/>
    <n v="6.5"/>
    <s v="None"/>
    <x v="0"/>
    <x v="1"/>
    <d v="2025-08-14T00:00:00"/>
    <x v="3"/>
    <s v=" Clear, colorless, practically free of particles"/>
    <n v="3.86"/>
    <n v="6.41"/>
    <n v="75914"/>
    <n v="2.54"/>
    <n v="96.18"/>
    <n v="1.28"/>
    <n v="2002208"/>
    <m/>
    <m/>
    <m/>
  </r>
  <r>
    <s v="FD-003-047"/>
    <s v="Phosphate"/>
    <n v="6.5"/>
    <s v="20 mg/mL Arg HCl, 50 mg/mL sucrose"/>
    <x v="1"/>
    <x v="1"/>
    <d v="2025-08-14T00:00:00"/>
    <x v="3"/>
    <s v=" Clear, colorless, practically free of particles"/>
    <n v="3.5950000000000002"/>
    <n v="6.38"/>
    <n v="75919"/>
    <n v="2.23"/>
    <n v="96.78"/>
    <n v="0.99"/>
    <n v="1854006"/>
    <m/>
    <m/>
    <m/>
  </r>
  <r>
    <s v="FD-003-048"/>
    <s v="Phosphate"/>
    <n v="6.5"/>
    <s v="4 mg/mL NaCl, 50 mg/mL sucrose"/>
    <x v="2"/>
    <x v="1"/>
    <d v="2025-08-14T00:00:00"/>
    <x v="3"/>
    <s v=" Clear, colorless, practically free of particles"/>
    <n v="3.6339999999999999"/>
    <n v="6.48"/>
    <n v="75924"/>
    <n v="2.38"/>
    <n v="95.93"/>
    <n v="1.68"/>
    <n v="1899246"/>
    <m/>
    <m/>
    <m/>
  </r>
  <r>
    <s v="FD-003-049"/>
    <s v="Phosphate"/>
    <n v="7"/>
    <s v="None"/>
    <x v="3"/>
    <x v="1"/>
    <d v="2025-08-14T00:00:00"/>
    <x v="3"/>
    <s v=" Clear, colorless, practically free of particles"/>
    <n v="3.6880000000000002"/>
    <n v="6.89"/>
    <n v="75929"/>
    <n v="1.62"/>
    <n v="94.58"/>
    <n v="3.8"/>
    <n v="1917606"/>
    <m/>
    <m/>
    <m/>
  </r>
  <r>
    <s v="FD-003-050"/>
    <s v="Phosphate"/>
    <n v="7"/>
    <s v="20 mg/mL Arg HCl, 50 mg/mL sucrose"/>
    <x v="4"/>
    <x v="1"/>
    <d v="2025-08-14T00:00:00"/>
    <x v="3"/>
    <s v=" Clear, colorless, practically free of particles"/>
    <n v="3.5609999999999999"/>
    <n v="6.89"/>
    <n v="75934"/>
    <n v="2.4300000000000002"/>
    <n v="96.11"/>
    <n v="1.46"/>
    <n v="1861976"/>
    <m/>
    <m/>
    <m/>
  </r>
  <r>
    <s v="FD-003-051"/>
    <s v="Phosphate"/>
    <n v="7"/>
    <s v="4 mg/mL NaCl, 50 mg/mL sucrose"/>
    <x v="5"/>
    <x v="1"/>
    <d v="2025-08-14T00:00:00"/>
    <x v="3"/>
    <s v=" Clear, colorless, practically free of particles"/>
    <n v="3.488"/>
    <n v="6.92"/>
    <n v="75939"/>
    <n v="2.4700000000000002"/>
    <n v="94.89"/>
    <n v="2.63"/>
    <n v="1872978"/>
    <m/>
    <m/>
    <m/>
  </r>
  <r>
    <s v="FD-003-052"/>
    <s v="Phosphate"/>
    <n v="7.5"/>
    <s v="None"/>
    <x v="6"/>
    <x v="1"/>
    <d v="2025-08-14T00:00:00"/>
    <x v="3"/>
    <s v=" Clear, colorless, practically free of particles"/>
    <n v="3.758"/>
    <n v="7.3"/>
    <n v="75944"/>
    <n v="2.72"/>
    <n v="94.13"/>
    <n v="3.15"/>
    <n v="1988974"/>
    <m/>
    <m/>
    <m/>
  </r>
  <r>
    <s v="FD-003-053"/>
    <s v="Phosphate"/>
    <n v="7.5"/>
    <s v="20 mg/mL Arg HCl, 50 mg/mL sucrose"/>
    <x v="7"/>
    <x v="1"/>
    <d v="2025-08-14T00:00:00"/>
    <x v="3"/>
    <s v=" Clear, colorless, practically free of particles"/>
    <n v="3.4329999999999998"/>
    <n v="7.42"/>
    <n v="75949"/>
    <n v="2.46"/>
    <n v="95.19"/>
    <n v="2.35"/>
    <n v="1818955"/>
    <m/>
    <m/>
    <m/>
  </r>
  <r>
    <s v="FD-003-054"/>
    <s v="Phosphate"/>
    <n v="7.5"/>
    <s v="4 mg/mL NaCl, 50 mg/mL sucrose"/>
    <x v="8"/>
    <x v="1"/>
    <d v="2025-08-14T00:00:00"/>
    <x v="3"/>
    <s v=" Clear, colorless, practically free of particles"/>
    <n v="3.6"/>
    <n v="7.32"/>
    <n v="75964"/>
    <n v="2.44"/>
    <n v="93.69"/>
    <n v="3.88"/>
    <n v="1893063"/>
    <m/>
    <m/>
    <m/>
  </r>
  <r>
    <s v="FD-003-055"/>
    <s v="Citrate"/>
    <n v="6.2"/>
    <s v="None"/>
    <x v="9"/>
    <x v="1"/>
    <d v="2025-08-14T00:00:00"/>
    <x v="3"/>
    <s v=" Clear, colorless, practically free of particles"/>
    <n v="3.746"/>
    <n v="6.11"/>
    <n v="75969"/>
    <n v="2.36"/>
    <n v="96.88"/>
    <n v="0.76"/>
    <n v="1970245"/>
    <m/>
    <m/>
    <m/>
  </r>
  <r>
    <s v="FD-003-056"/>
    <s v="Citrate"/>
    <n v="6.2"/>
    <s v="20 mg/mL Arg HCl, 50 mg/mL sucrose"/>
    <x v="10"/>
    <x v="1"/>
    <d v="2025-08-14T00:00:00"/>
    <x v="3"/>
    <s v="Clear, colorless, one long white fibrous particle ~1 mm"/>
    <n v="3.363"/>
    <n v="6.18"/>
    <n v="75974"/>
    <n v="2.25"/>
    <n v="96.77"/>
    <n v="0.98"/>
    <n v="1647575"/>
    <m/>
    <m/>
    <m/>
  </r>
  <r>
    <s v="FD-003-057"/>
    <s v="Citrate"/>
    <n v="6.2"/>
    <s v="4 mg/mL NaCl, 50 mg/mL sucrose"/>
    <x v="11"/>
    <x v="1"/>
    <d v="2025-08-14T00:00:00"/>
    <x v="3"/>
    <s v="Clear, colorless, one long white fibrous particle ~1 mm"/>
    <n v="3.262"/>
    <n v="6.17"/>
    <n v="75979"/>
    <n v="2.39"/>
    <n v="96.73"/>
    <n v="0.88"/>
    <n v="1439691"/>
    <m/>
    <m/>
    <m/>
  </r>
  <r>
    <s v="FD-003-058"/>
    <s v="Citrate"/>
    <n v="6.8"/>
    <s v="None"/>
    <x v="12"/>
    <x v="1"/>
    <d v="2025-08-14T00:00:00"/>
    <x v="3"/>
    <s v=" Clear, colorless, practically free of particles"/>
    <n v="3.5470000000000002"/>
    <n v="6.73"/>
    <n v="75984"/>
    <n v="2.5499999999999998"/>
    <n v="96.44"/>
    <n v="1.01"/>
    <n v="1747623"/>
    <m/>
    <m/>
    <m/>
  </r>
  <r>
    <s v="FD-003-059"/>
    <s v="Citrate"/>
    <n v="6.8"/>
    <s v="20 mg/mL Arg HCl, 50 mg/mL sucrose"/>
    <x v="13"/>
    <x v="1"/>
    <d v="2025-08-14T00:00:00"/>
    <x v="3"/>
    <s v=" Clear, colorless, practically free of particles"/>
    <n v="3.2160000000000002"/>
    <n v="6.8"/>
    <n v="75989"/>
    <n v="2.25"/>
    <n v="96.7"/>
    <n v="1.05"/>
    <n v="1709518"/>
    <m/>
    <m/>
    <m/>
  </r>
  <r>
    <s v="FD-003-060"/>
    <s v="Citrate"/>
    <n v="6.8"/>
    <s v="4 mg/mL NaCl, 50 mg/mL sucrose"/>
    <x v="14"/>
    <x v="1"/>
    <d v="2025-08-14T00:00:00"/>
    <x v="3"/>
    <s v=" Clear, colorless, practically free of particles"/>
    <n v="3.3490000000000002"/>
    <n v="6.81"/>
    <n v="75994"/>
    <n v="2.4"/>
    <n v="96.47"/>
    <n v="1.1299999999999999"/>
    <n v="1786832"/>
    <m/>
    <m/>
    <m/>
  </r>
  <r>
    <s v="FD-003-061"/>
    <s v="Phosphate"/>
    <n v="6.5"/>
    <s v="None"/>
    <x v="0"/>
    <x v="0"/>
    <d v="2025-08-21T00:00:00"/>
    <x v="4"/>
    <s v=" Clear, colorless, practically free of particles"/>
    <n v="3.847"/>
    <n v="6.4"/>
    <n v="76696"/>
    <n v="2.23"/>
    <n v="97.36"/>
    <n v="0.4"/>
    <n v="1924334"/>
    <m/>
    <m/>
    <m/>
  </r>
  <r>
    <s v="FD-003-062"/>
    <s v="Phosphate"/>
    <n v="6.5"/>
    <s v="20 mg/mL Arg HCl, 50 mg/mL sucrose"/>
    <x v="1"/>
    <x v="0"/>
    <d v="2025-08-21T00:00:00"/>
    <x v="4"/>
    <s v=" Clear, colorless, practically free of particles"/>
    <n v="3.613"/>
    <n v="6.39"/>
    <n v="76701"/>
    <n v="2.08"/>
    <n v="97.49"/>
    <n v="0.43"/>
    <n v="1797038"/>
    <m/>
    <m/>
    <m/>
  </r>
  <r>
    <s v="FD-003-063"/>
    <s v="Phosphate"/>
    <n v="6.5"/>
    <s v="4 mg/mL NaCl, 50 mg/mL sucrose"/>
    <x v="2"/>
    <x v="0"/>
    <d v="2025-08-21T00:00:00"/>
    <x v="4"/>
    <s v=" Clear, colorless, practically free of particles"/>
    <n v="3.6469999999999998"/>
    <n v="6.48"/>
    <n v="76706"/>
    <n v="2.1800000000000002"/>
    <n v="97.2"/>
    <n v="0.62"/>
    <n v="1836194"/>
    <m/>
    <m/>
    <m/>
  </r>
  <r>
    <s v="FD-003-064"/>
    <s v="Phosphate"/>
    <n v="7"/>
    <s v="None"/>
    <x v="3"/>
    <x v="0"/>
    <d v="2025-08-21T00:00:00"/>
    <x v="4"/>
    <s v=" Clear, colorless, practically free of particles"/>
    <n v="3.734"/>
    <n v="6.88"/>
    <n v="76711"/>
    <n v="2.06"/>
    <n v="96.11"/>
    <n v="1.83"/>
    <n v="1874815"/>
    <m/>
    <m/>
    <m/>
  </r>
  <r>
    <s v="FD-003-065"/>
    <s v="Phosphate"/>
    <n v="7"/>
    <s v="20 mg/mL Arg HCl, 50 mg/mL sucrose"/>
    <x v="4"/>
    <x v="0"/>
    <d v="2025-08-21T00:00:00"/>
    <x v="4"/>
    <s v=" Clear, colorless, practically free of particles"/>
    <n v="3.5590000000000002"/>
    <n v="6.9"/>
    <n v="76716"/>
    <n v="2.16"/>
    <n v="97.28"/>
    <n v="0.56000000000000005"/>
    <n v="1796664"/>
    <m/>
    <m/>
    <m/>
  </r>
  <r>
    <s v="FD-003-066"/>
    <s v="Phosphate"/>
    <n v="7"/>
    <s v="4 mg/mL NaCl, 50 mg/mL sucrose"/>
    <x v="5"/>
    <x v="0"/>
    <d v="2025-08-21T00:00:00"/>
    <x v="4"/>
    <s v=" Clear, colorless, practically free of particles"/>
    <n v="3.589"/>
    <n v="6.92"/>
    <n v="76721"/>
    <n v="2.2599999999999998"/>
    <n v="96.96"/>
    <n v="0.77"/>
    <n v="1815094"/>
    <m/>
    <m/>
    <m/>
  </r>
  <r>
    <s v="FD-003-067"/>
    <s v="Phosphate"/>
    <n v="7.5"/>
    <s v="None"/>
    <x v="6"/>
    <x v="0"/>
    <d v="2025-08-21T00:00:00"/>
    <x v="4"/>
    <s v=" Clear, colorless, practically free of particles"/>
    <n v="3.7589999999999999"/>
    <n v="7.31"/>
    <n v="76736"/>
    <n v="2.5"/>
    <n v="96.79"/>
    <n v="0.71"/>
    <n v="1921694"/>
    <m/>
    <m/>
    <m/>
  </r>
  <r>
    <s v="FD-003-068"/>
    <s v="Phosphate"/>
    <n v="7.5"/>
    <s v="20 mg/mL Arg HCl, 50 mg/mL sucrose"/>
    <x v="7"/>
    <x v="0"/>
    <d v="2025-08-21T00:00:00"/>
    <x v="4"/>
    <s v=" Clear, colorless, practically free of particles"/>
    <n v="3.4319999999999999"/>
    <n v="7.4"/>
    <n v="76741"/>
    <n v="2.31"/>
    <n v="96.87"/>
    <n v="0.82"/>
    <n v="1750831"/>
    <m/>
    <m/>
    <m/>
  </r>
  <r>
    <s v="FD-003-069"/>
    <s v="Phosphate"/>
    <n v="7.5"/>
    <s v="4 mg/mL NaCl, 50 mg/mL sucrose"/>
    <x v="8"/>
    <x v="0"/>
    <d v="2025-08-21T00:00:00"/>
    <x v="4"/>
    <s v=" Clear, colorless, practically free of particles"/>
    <n v="3.6150000000000002"/>
    <n v="7.32"/>
    <n v="76746"/>
    <n v="2.27"/>
    <n v="96.81"/>
    <n v="0.91"/>
    <n v="1850511"/>
    <m/>
    <m/>
    <m/>
  </r>
  <r>
    <s v="FD-003-070"/>
    <s v="Citrate"/>
    <n v="6.2"/>
    <s v="None"/>
    <x v="9"/>
    <x v="0"/>
    <d v="2025-08-21T00:00:00"/>
    <x v="4"/>
    <s v=" Clear, colorless, practically free of particles"/>
    <n v="3.7650000000000001"/>
    <n v="6.11"/>
    <n v="76751"/>
    <n v="2.13"/>
    <n v="97.43"/>
    <n v="0.43"/>
    <n v="1902649"/>
    <m/>
    <m/>
    <m/>
  </r>
  <r>
    <s v="FD-003-071"/>
    <s v="Citrate"/>
    <n v="6.2"/>
    <s v="20 mg/mL Arg HCl, 50 mg/mL sucrose"/>
    <x v="10"/>
    <x v="0"/>
    <d v="2025-08-21T00:00:00"/>
    <x v="4"/>
    <s v=" Clear, colorless, practically free of particles"/>
    <n v="3.3860000000000001"/>
    <n v="6.19"/>
    <n v="76756"/>
    <n v="2.02"/>
    <n v="97.5"/>
    <n v="0.48"/>
    <n v="1722175"/>
    <m/>
    <m/>
    <m/>
  </r>
  <r>
    <s v="FD-003-072"/>
    <s v="Citrate"/>
    <n v="6.2"/>
    <s v="4 mg/mL NaCl, 50 mg/mL sucrose"/>
    <x v="11"/>
    <x v="0"/>
    <d v="2025-08-21T00:00:00"/>
    <x v="4"/>
    <s v=" Clear, colorless, practically free of particles"/>
    <n v="3.2749999999999999"/>
    <n v="6.17"/>
    <n v="76761"/>
    <n v="2.1"/>
    <n v="97.4"/>
    <n v="0.5"/>
    <n v="1676988"/>
    <m/>
    <m/>
    <m/>
  </r>
  <r>
    <s v="FD-003-073"/>
    <s v="Citrate"/>
    <n v="6.8"/>
    <s v="None"/>
    <x v="12"/>
    <x v="0"/>
    <d v="2025-08-21T00:00:00"/>
    <x v="4"/>
    <s v=" Clear, colorless, practically free of particles"/>
    <n v="3.5630000000000002"/>
    <n v="6.71"/>
    <n v="76766"/>
    <n v="2.25"/>
    <n v="97.22"/>
    <n v="0.52"/>
    <n v="1839340"/>
    <m/>
    <m/>
    <m/>
  </r>
  <r>
    <s v="FD-003-074"/>
    <s v="Citrate"/>
    <n v="6.8"/>
    <s v="20 mg/mL Arg HCl, 50 mg/mL sucrose"/>
    <x v="13"/>
    <x v="0"/>
    <d v="2025-08-21T00:00:00"/>
    <x v="4"/>
    <s v=" Clear, colorless, practically free of particles"/>
    <n v="3.2250000000000001"/>
    <n v="6.79"/>
    <n v="76771"/>
    <n v="2.09"/>
    <n v="97.38"/>
    <n v="0.53"/>
    <n v="1670266"/>
    <m/>
    <m/>
    <m/>
  </r>
  <r>
    <s v="FD-003-075"/>
    <s v="Citrate"/>
    <n v="6.8"/>
    <s v="4 mg/mL NaCl, 50 mg/mL sucrose"/>
    <x v="14"/>
    <x v="0"/>
    <d v="2025-08-21T00:00:00"/>
    <x v="4"/>
    <s v=" Clear, colorless, practically free of particles"/>
    <n v="3.331"/>
    <n v="6.79"/>
    <n v="76776"/>
    <n v="2.17"/>
    <n v="97.33"/>
    <n v="0.5"/>
    <n v="1748668"/>
    <m/>
    <m/>
    <m/>
  </r>
  <r>
    <s v="FD-003-076"/>
    <s v="Phosphate"/>
    <n v="6.5"/>
    <s v="None"/>
    <x v="0"/>
    <x v="0"/>
    <m/>
    <x v="5"/>
    <m/>
    <m/>
    <m/>
    <m/>
    <m/>
    <m/>
    <m/>
    <m/>
    <m/>
    <m/>
    <m/>
  </r>
  <r>
    <s v="FD-003-077"/>
    <s v="Phosphate"/>
    <n v="6.5"/>
    <s v="20 mg/mL Arg HCl, 50 mg/mL sucrose"/>
    <x v="1"/>
    <x v="0"/>
    <m/>
    <x v="5"/>
    <m/>
    <m/>
    <m/>
    <m/>
    <m/>
    <m/>
    <m/>
    <m/>
    <m/>
    <m/>
    <m/>
  </r>
  <r>
    <s v="FD-003-078"/>
    <s v="Phosphate"/>
    <n v="6.5"/>
    <s v="4 mg/mL NaCl, 50 mg/mL sucrose"/>
    <x v="2"/>
    <x v="0"/>
    <m/>
    <x v="5"/>
    <m/>
    <m/>
    <m/>
    <m/>
    <m/>
    <m/>
    <m/>
    <m/>
    <m/>
    <m/>
    <m/>
  </r>
  <r>
    <s v="FD-003-079"/>
    <s v="Phosphate"/>
    <n v="7"/>
    <s v="None"/>
    <x v="3"/>
    <x v="0"/>
    <m/>
    <x v="5"/>
    <m/>
    <m/>
    <m/>
    <m/>
    <m/>
    <m/>
    <m/>
    <m/>
    <m/>
    <m/>
    <m/>
  </r>
  <r>
    <s v="FD-003-080"/>
    <s v="Phosphate"/>
    <n v="7"/>
    <s v="20 mg/mL Arg HCl, 50 mg/mL sucrose"/>
    <x v="4"/>
    <x v="0"/>
    <m/>
    <x v="5"/>
    <m/>
    <m/>
    <m/>
    <m/>
    <m/>
    <m/>
    <m/>
    <m/>
    <m/>
    <m/>
    <m/>
  </r>
  <r>
    <s v="FD-003-081"/>
    <s v="Phosphate"/>
    <n v="7"/>
    <s v="4 mg/mL NaCl, 50 mg/mL sucrose"/>
    <x v="5"/>
    <x v="0"/>
    <m/>
    <x v="5"/>
    <m/>
    <m/>
    <m/>
    <m/>
    <m/>
    <m/>
    <m/>
    <m/>
    <m/>
    <m/>
    <m/>
  </r>
  <r>
    <s v="FD-003-082"/>
    <s v="Phosphate"/>
    <n v="7.5"/>
    <s v="None"/>
    <x v="6"/>
    <x v="0"/>
    <m/>
    <x v="5"/>
    <m/>
    <m/>
    <m/>
    <m/>
    <m/>
    <m/>
    <m/>
    <m/>
    <m/>
    <m/>
    <m/>
  </r>
  <r>
    <s v="FD-003-083"/>
    <s v="Phosphate"/>
    <n v="7.5"/>
    <s v="20 mg/mL Arg HCl, 50 mg/mL sucrose"/>
    <x v="7"/>
    <x v="0"/>
    <m/>
    <x v="5"/>
    <m/>
    <m/>
    <m/>
    <m/>
    <m/>
    <m/>
    <m/>
    <m/>
    <m/>
    <m/>
    <m/>
  </r>
  <r>
    <s v="FD-003-084"/>
    <s v="Phosphate"/>
    <n v="7.5"/>
    <s v="4 mg/mL NaCl, 50 mg/mL sucrose"/>
    <x v="8"/>
    <x v="0"/>
    <m/>
    <x v="5"/>
    <m/>
    <m/>
    <m/>
    <m/>
    <m/>
    <m/>
    <m/>
    <m/>
    <m/>
    <m/>
    <m/>
  </r>
  <r>
    <s v="FD-003-085"/>
    <s v="Citrate"/>
    <n v="6.2"/>
    <s v="None"/>
    <x v="9"/>
    <x v="0"/>
    <m/>
    <x v="5"/>
    <m/>
    <m/>
    <m/>
    <m/>
    <m/>
    <m/>
    <m/>
    <m/>
    <m/>
    <m/>
    <m/>
  </r>
  <r>
    <s v="FD-003-086"/>
    <s v="Citrate"/>
    <n v="6.2"/>
    <s v="20 mg/mL Arg HCl, 50 mg/mL sucrose"/>
    <x v="10"/>
    <x v="0"/>
    <m/>
    <x v="5"/>
    <m/>
    <m/>
    <m/>
    <m/>
    <m/>
    <m/>
    <m/>
    <m/>
    <m/>
    <m/>
    <m/>
  </r>
  <r>
    <s v="FD-003-087"/>
    <s v="Citrate"/>
    <n v="6.2"/>
    <s v="4 mg/mL NaCl, 50 mg/mL sucrose"/>
    <x v="11"/>
    <x v="0"/>
    <m/>
    <x v="5"/>
    <m/>
    <m/>
    <m/>
    <m/>
    <m/>
    <m/>
    <m/>
    <m/>
    <m/>
    <m/>
    <m/>
  </r>
  <r>
    <s v="FD-003-088"/>
    <s v="Citrate"/>
    <n v="6.8"/>
    <s v="None"/>
    <x v="12"/>
    <x v="0"/>
    <m/>
    <x v="5"/>
    <m/>
    <m/>
    <m/>
    <m/>
    <m/>
    <m/>
    <m/>
    <m/>
    <m/>
    <m/>
    <m/>
  </r>
  <r>
    <s v="FD-003-089"/>
    <s v="Citrate"/>
    <n v="6.8"/>
    <s v="20 mg/mL Arg HCl, 50 mg/mL sucrose"/>
    <x v="13"/>
    <x v="0"/>
    <m/>
    <x v="5"/>
    <m/>
    <m/>
    <m/>
    <m/>
    <m/>
    <m/>
    <m/>
    <m/>
    <m/>
    <m/>
    <m/>
  </r>
  <r>
    <s v="FD-003-090"/>
    <s v="Citrate"/>
    <n v="6.8"/>
    <s v="4 mg/mL NaCl, 50 mg/mL sucrose"/>
    <x v="14"/>
    <x v="0"/>
    <m/>
    <x v="5"/>
    <m/>
    <m/>
    <m/>
    <m/>
    <m/>
    <m/>
    <m/>
    <m/>
    <m/>
    <m/>
    <m/>
  </r>
  <r>
    <s v="FD-003-091"/>
    <s v="Phosphate"/>
    <n v="6.5"/>
    <s v="None"/>
    <x v="0"/>
    <x v="2"/>
    <d v="2025-08-14T00:00:00"/>
    <x v="6"/>
    <s v=" Clear, colorless, practically free of particles"/>
    <n v="3.6989999999999998"/>
    <n v="6.41"/>
    <n v="75999"/>
    <n v="2.04"/>
    <n v="97.35"/>
    <n v="0.61"/>
    <n v="2025925"/>
    <m/>
    <m/>
    <m/>
  </r>
  <r>
    <s v="FD-003-092"/>
    <s v="Phosphate"/>
    <n v="6.5"/>
    <s v="20 mg/mL Arg HCl, 50 mg/mL sucrose"/>
    <x v="1"/>
    <x v="2"/>
    <d v="2025-08-14T00:00:00"/>
    <x v="6"/>
    <s v=" Clear, colorless, practically free of particles"/>
    <n v="3.5310000000000001"/>
    <n v="6.39"/>
    <n v="76014"/>
    <n v="1.96"/>
    <n v="97.52"/>
    <n v="0.52"/>
    <n v="1879789"/>
    <m/>
    <m/>
    <m/>
  </r>
  <r>
    <s v="FD-003-093"/>
    <s v="Phosphate"/>
    <n v="6.5"/>
    <s v="4 mg/mL NaCl, 50 mg/mL sucrose"/>
    <x v="2"/>
    <x v="2"/>
    <d v="2025-08-14T00:00:00"/>
    <x v="6"/>
    <s v=" Clear, colorless, practically free of particles"/>
    <n v="3.5510000000000002"/>
    <n v="6.48"/>
    <n v="76189"/>
    <n v="2.1"/>
    <n v="97.47"/>
    <n v="0.43"/>
    <n v="1800508"/>
    <m/>
    <m/>
    <m/>
  </r>
  <r>
    <s v="FD-003-094"/>
    <s v="Phosphate"/>
    <n v="7"/>
    <s v="None"/>
    <x v="3"/>
    <x v="2"/>
    <d v="2025-08-14T00:00:00"/>
    <x v="6"/>
    <s v=" Clear, colorless, practically free of particles"/>
    <n v="3.5310000000000001"/>
    <n v="6.89"/>
    <n v="76024"/>
    <n v="2.1"/>
    <n v="97.36"/>
    <n v="0.54"/>
    <n v="1887336"/>
    <m/>
    <m/>
    <m/>
  </r>
  <r>
    <s v="FD-003-095"/>
    <s v="Phosphate"/>
    <n v="7"/>
    <s v="20 mg/mL Arg HCl, 50 mg/mL sucrose"/>
    <x v="4"/>
    <x v="2"/>
    <d v="2025-08-14T00:00:00"/>
    <x v="6"/>
    <s v=" Clear, colorless, practically free of particles"/>
    <n v="3.512"/>
    <n v="6.89"/>
    <n v="76029"/>
    <n v="1.95"/>
    <n v="97.61"/>
    <n v="0.44"/>
    <n v="1900139"/>
    <m/>
    <m/>
    <m/>
  </r>
  <r>
    <s v="FD-003-096"/>
    <s v="Phosphate"/>
    <n v="7"/>
    <s v="4 mg/mL NaCl, 50 mg/mL sucrose"/>
    <x v="5"/>
    <x v="2"/>
    <d v="2025-08-14T00:00:00"/>
    <x v="6"/>
    <s v=" Clear, colorless, practically free of particles"/>
    <n v="3.472"/>
    <n v="6.92"/>
    <n v="76034"/>
    <n v="1.73"/>
    <n v="97.49"/>
    <n v="0.79"/>
    <n v="1859715"/>
    <m/>
    <m/>
    <m/>
  </r>
  <r>
    <s v="FD-003-097"/>
    <s v="Phosphate"/>
    <n v="7.5"/>
    <s v="None"/>
    <x v="6"/>
    <x v="2"/>
    <d v="2025-08-14T00:00:00"/>
    <x v="6"/>
    <s v=" Clear, colorless, practically free of particles"/>
    <n v="3.6070000000000002"/>
    <n v="7.31"/>
    <n v="76039"/>
    <n v="2.2599999999999998"/>
    <n v="97.27"/>
    <n v="0.47"/>
    <n v="1996315"/>
    <m/>
    <m/>
    <m/>
  </r>
  <r>
    <s v="FD-003-098"/>
    <s v="Phosphate"/>
    <n v="7.5"/>
    <s v="20 mg/mL Arg HCl, 50 mg/mL sucrose"/>
    <x v="7"/>
    <x v="2"/>
    <d v="2025-08-14T00:00:00"/>
    <x v="6"/>
    <s v=" Clear, colorless, practically free of particles"/>
    <n v="3.3780000000000001"/>
    <n v="7.4"/>
    <n v="76044"/>
    <n v="2.02"/>
    <n v="97.35"/>
    <n v="0.63"/>
    <n v="1819063"/>
    <m/>
    <m/>
    <m/>
  </r>
  <r>
    <s v="FD-003-099"/>
    <s v="Phosphate"/>
    <n v="7.5"/>
    <s v="4 mg/mL NaCl, 50 mg/mL sucrose"/>
    <x v="8"/>
    <x v="2"/>
    <d v="2025-08-14T00:00:00"/>
    <x v="6"/>
    <s v=" Clear, colorless, practically free of particles"/>
    <n v="3.52"/>
    <n v="7.31"/>
    <n v="76049"/>
    <n v="1.99"/>
    <n v="97.41"/>
    <n v="0.6"/>
    <n v="1889060"/>
    <m/>
    <m/>
    <m/>
  </r>
  <r>
    <s v="FD-003-100"/>
    <s v="Citrate"/>
    <n v="6.2"/>
    <s v="None"/>
    <x v="9"/>
    <x v="2"/>
    <d v="2025-08-14T00:00:00"/>
    <x v="6"/>
    <s v=" Clear, colorless, practically free of particles"/>
    <n v="3.4039999999999999"/>
    <n v="6.12"/>
    <n v="76064"/>
    <n v="1.96"/>
    <n v="97.46"/>
    <n v="0.56999999999999995"/>
    <n v="1916607"/>
    <m/>
    <m/>
    <m/>
  </r>
  <r>
    <s v="FD-003-101"/>
    <s v="Citrate"/>
    <n v="6.2"/>
    <s v="20 mg/mL Arg HCl, 50 mg/mL sucrose"/>
    <x v="10"/>
    <x v="2"/>
    <d v="2025-08-14T00:00:00"/>
    <x v="6"/>
    <s v=" Clear, colorless, practically free of particles"/>
    <n v="3.2919999999999998"/>
    <n v="6.18"/>
    <n v="76069"/>
    <n v="1.98"/>
    <n v="97.42"/>
    <n v="0.6"/>
    <n v="1813296"/>
    <m/>
    <m/>
    <m/>
  </r>
  <r>
    <s v="FD-003-102"/>
    <s v="Citrate"/>
    <n v="6.2"/>
    <s v="4 mg/mL NaCl, 50 mg/mL sucrose"/>
    <x v="11"/>
    <x v="2"/>
    <d v="2025-08-14T00:00:00"/>
    <x v="6"/>
    <s v=" Clear, colorless, practically free of particles"/>
    <n v="3.1829999999999998"/>
    <n v="6.17"/>
    <n v="76074"/>
    <n v="2.68"/>
    <n v="96.44"/>
    <n v="0.88"/>
    <n v="1089539"/>
    <m/>
    <m/>
    <m/>
  </r>
  <r>
    <s v="FD-003-103"/>
    <s v="Citrate"/>
    <n v="6.8"/>
    <s v="None"/>
    <x v="12"/>
    <x v="2"/>
    <d v="2025-08-14T00:00:00"/>
    <x v="6"/>
    <s v=" Clear, colorless, practically free of particles"/>
    <n v="3.4889999999999999"/>
    <n v="6.7"/>
    <n v="76079"/>
    <n v="2.0099999999999998"/>
    <n v="97.46"/>
    <n v="0.53"/>
    <n v="1898380"/>
    <m/>
    <m/>
    <m/>
  </r>
  <r>
    <s v="FD-003-104"/>
    <s v="Citrate"/>
    <n v="6.8"/>
    <s v="20 mg/mL Arg HCl, 50 mg/mL sucrose"/>
    <x v="13"/>
    <x v="2"/>
    <d v="2025-08-14T00:00:00"/>
    <x v="6"/>
    <s v=" Clear, colorless, practically free of particles"/>
    <n v="3.1030000000000002"/>
    <n v="6.78"/>
    <n v="76084"/>
    <n v="2"/>
    <n v="97.5"/>
    <n v="0.5"/>
    <n v="1689024"/>
    <m/>
    <m/>
    <m/>
  </r>
  <r>
    <s v="FD-003-105"/>
    <s v="Citrate"/>
    <n v="6.8"/>
    <s v="4 mg/mL NaCl, 50 mg/mL sucrose"/>
    <x v="14"/>
    <x v="2"/>
    <d v="2025-08-14T00:00:00"/>
    <x v="6"/>
    <s v=" Clear, colorless, practically free of particles"/>
    <n v="3.2749999999999999"/>
    <n v="6.78"/>
    <n v="76089"/>
    <n v="1.97"/>
    <n v="97.45"/>
    <n v="0.57999999999999996"/>
    <n v="1819996"/>
    <m/>
    <m/>
    <m/>
  </r>
  <r>
    <s v="FD-003-106"/>
    <s v="Phosphate"/>
    <n v="6.5"/>
    <s v="None"/>
    <x v="0"/>
    <x v="0"/>
    <m/>
    <x v="7"/>
    <m/>
    <m/>
    <m/>
    <m/>
    <m/>
    <m/>
    <m/>
    <m/>
    <m/>
    <m/>
    <m/>
  </r>
  <r>
    <s v="FD-003-107"/>
    <s v="Phosphate"/>
    <n v="6.5"/>
    <s v="20 mg/mL Arg HCl, 50 mg/mL sucrose"/>
    <x v="1"/>
    <x v="0"/>
    <m/>
    <x v="7"/>
    <m/>
    <m/>
    <m/>
    <m/>
    <m/>
    <m/>
    <m/>
    <m/>
    <m/>
    <m/>
    <m/>
  </r>
  <r>
    <s v="FD-003-108"/>
    <s v="Phosphate"/>
    <n v="6.5"/>
    <s v="4 mg/mL NaCl, 50 mg/mL sucrose"/>
    <x v="2"/>
    <x v="0"/>
    <m/>
    <x v="7"/>
    <m/>
    <m/>
    <m/>
    <m/>
    <m/>
    <m/>
    <m/>
    <m/>
    <m/>
    <m/>
    <m/>
  </r>
  <r>
    <s v="FD-003-109"/>
    <s v="Phosphate"/>
    <n v="7"/>
    <s v="None"/>
    <x v="3"/>
    <x v="0"/>
    <m/>
    <x v="7"/>
    <m/>
    <m/>
    <m/>
    <m/>
    <m/>
    <m/>
    <m/>
    <m/>
    <m/>
    <m/>
    <m/>
  </r>
  <r>
    <s v="FD-003-110"/>
    <s v="Phosphate"/>
    <n v="7"/>
    <s v="20 mg/mL Arg HCl, 50 mg/mL sucrose"/>
    <x v="4"/>
    <x v="0"/>
    <m/>
    <x v="7"/>
    <m/>
    <m/>
    <m/>
    <m/>
    <m/>
    <m/>
    <m/>
    <m/>
    <m/>
    <m/>
    <m/>
  </r>
  <r>
    <s v="FD-003-111"/>
    <s v="Phosphate"/>
    <n v="7"/>
    <s v="4 mg/mL NaCl, 50 mg/mL sucrose"/>
    <x v="5"/>
    <x v="0"/>
    <m/>
    <x v="7"/>
    <m/>
    <m/>
    <m/>
    <m/>
    <m/>
    <m/>
    <m/>
    <m/>
    <m/>
    <m/>
    <m/>
  </r>
  <r>
    <s v="FD-003-112"/>
    <s v="Phosphate"/>
    <n v="7.5"/>
    <s v="None"/>
    <x v="6"/>
    <x v="0"/>
    <m/>
    <x v="7"/>
    <m/>
    <m/>
    <m/>
    <m/>
    <m/>
    <m/>
    <m/>
    <m/>
    <m/>
    <m/>
    <m/>
  </r>
  <r>
    <s v="FD-003-113"/>
    <s v="Phosphate"/>
    <n v="7.5"/>
    <s v="20 mg/mL Arg HCl, 50 mg/mL sucrose"/>
    <x v="7"/>
    <x v="0"/>
    <m/>
    <x v="7"/>
    <m/>
    <m/>
    <m/>
    <m/>
    <m/>
    <m/>
    <m/>
    <m/>
    <m/>
    <m/>
    <m/>
  </r>
  <r>
    <s v="FD-003-114"/>
    <s v="Phosphate"/>
    <n v="7.5"/>
    <s v="4 mg/mL NaCl, 50 mg/mL sucrose"/>
    <x v="8"/>
    <x v="0"/>
    <m/>
    <x v="7"/>
    <m/>
    <m/>
    <m/>
    <m/>
    <m/>
    <m/>
    <m/>
    <m/>
    <m/>
    <m/>
    <m/>
  </r>
  <r>
    <s v="FD-003-115"/>
    <s v="Citrate"/>
    <n v="6.2"/>
    <s v="None"/>
    <x v="9"/>
    <x v="0"/>
    <m/>
    <x v="7"/>
    <m/>
    <m/>
    <m/>
    <m/>
    <m/>
    <m/>
    <m/>
    <m/>
    <m/>
    <m/>
    <m/>
  </r>
  <r>
    <s v="FD-003-116"/>
    <s v="Citrate"/>
    <n v="6.2"/>
    <s v="20 mg/mL Arg HCl, 50 mg/mL sucrose"/>
    <x v="10"/>
    <x v="0"/>
    <m/>
    <x v="7"/>
    <m/>
    <m/>
    <m/>
    <m/>
    <m/>
    <m/>
    <m/>
    <m/>
    <m/>
    <m/>
    <m/>
  </r>
  <r>
    <s v="FD-003-117"/>
    <s v="Citrate"/>
    <n v="6.2"/>
    <s v="4 mg/mL NaCl, 50 mg/mL sucrose"/>
    <x v="11"/>
    <x v="0"/>
    <m/>
    <x v="7"/>
    <m/>
    <m/>
    <m/>
    <m/>
    <m/>
    <m/>
    <m/>
    <m/>
    <m/>
    <m/>
    <m/>
  </r>
  <r>
    <s v="FD-003-118"/>
    <s v="Citrate"/>
    <n v="6.8"/>
    <s v="None"/>
    <x v="12"/>
    <x v="0"/>
    <m/>
    <x v="7"/>
    <m/>
    <m/>
    <m/>
    <m/>
    <m/>
    <m/>
    <m/>
    <m/>
    <m/>
    <m/>
    <m/>
  </r>
  <r>
    <s v="FD-003-119"/>
    <s v="Citrate"/>
    <n v="6.8"/>
    <s v="20 mg/mL Arg HCl, 50 mg/mL sucrose"/>
    <x v="13"/>
    <x v="0"/>
    <m/>
    <x v="7"/>
    <m/>
    <m/>
    <m/>
    <m/>
    <m/>
    <m/>
    <m/>
    <m/>
    <m/>
    <m/>
    <m/>
  </r>
  <r>
    <s v="FD-003-120"/>
    <s v="Citrate"/>
    <n v="6.8"/>
    <s v="4 mg/mL NaCl, 50 mg/mL sucrose"/>
    <x v="14"/>
    <x v="0"/>
    <m/>
    <x v="7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FD-003-001"/>
    <s v="Phosphate"/>
    <n v="6.5"/>
    <s v="None"/>
    <x v="0"/>
    <x v="0"/>
    <d v="2025-08-07T00:00:00"/>
    <x v="0"/>
    <s v=" Clear, colorless, practically free of particles"/>
    <n v="3.843"/>
    <n v="6.37"/>
    <n v="75231"/>
    <n v="1.94"/>
    <n v="97.75"/>
    <n v="0.31"/>
    <n v="1918688"/>
  </r>
  <r>
    <s v="FD-003-002"/>
    <s v="Phosphate"/>
    <n v="6.5"/>
    <s v="20 mg/mL Arg HCl, 50 mg/mL sucrose"/>
    <x v="1"/>
    <x v="0"/>
    <d v="2025-08-07T00:00:00"/>
    <x v="0"/>
    <s v=" Clear, colorless, practically free of particles"/>
    <n v="3.6240000000000001"/>
    <n v="6.36"/>
    <n v="75236"/>
    <n v="1.94"/>
    <n v="97.71"/>
    <n v="0.35"/>
    <n v="1802190"/>
  </r>
  <r>
    <s v="FD-003-003"/>
    <s v="Phosphate"/>
    <n v="6.5"/>
    <s v="4 mg/mL NaCl, 50 mg/mL sucrose"/>
    <x v="2"/>
    <x v="0"/>
    <d v="2025-08-07T00:00:00"/>
    <x v="0"/>
    <s v=" Clear, colorless, practically free of particles"/>
    <n v="3.6629999999999998"/>
    <n v="6.46"/>
    <n v="75241"/>
    <n v="1.92"/>
    <n v="97.72"/>
    <n v="0.36"/>
    <n v="1823294"/>
  </r>
  <r>
    <s v="FD-003-004"/>
    <s v="Phosphate"/>
    <n v="7"/>
    <s v="None"/>
    <x v="3"/>
    <x v="0"/>
    <d v="2025-08-07T00:00:00"/>
    <x v="0"/>
    <s v=" Clear, colorless, practically free of particles"/>
    <n v="3.7309999999999999"/>
    <n v="6.85"/>
    <n v="75246"/>
    <n v="1.88"/>
    <n v="97.69"/>
    <n v="0.43"/>
    <n v="1879146"/>
  </r>
  <r>
    <s v="FD-003-005"/>
    <s v="Phosphate"/>
    <n v="7"/>
    <s v="20 mg/mL Arg HCl, 50 mg/mL sucrose"/>
    <x v="4"/>
    <x v="0"/>
    <d v="2025-08-07T00:00:00"/>
    <x v="0"/>
    <s v=" Clear, colorless, practically free of particles"/>
    <n v="3.5449999999999999"/>
    <n v="6.88"/>
    <n v="75251"/>
    <n v="1.89"/>
    <n v="97.64"/>
    <n v="0.46"/>
    <n v="1801495"/>
  </r>
  <r>
    <s v="FD-003-006"/>
    <s v="Phosphate"/>
    <n v="7"/>
    <s v="4 mg/mL NaCl, 50 mg/mL sucrose"/>
    <x v="5"/>
    <x v="0"/>
    <d v="2025-08-07T00:00:00"/>
    <x v="0"/>
    <s v=" Clear, colorless, practically free of particles"/>
    <n v="3.6040000000000001"/>
    <n v="6.9"/>
    <n v="75256"/>
    <n v="1.88"/>
    <n v="97.67"/>
    <n v="0.45"/>
    <n v="1818299"/>
  </r>
  <r>
    <s v="FD-003-007"/>
    <s v="Phosphate"/>
    <n v="7.5"/>
    <s v="None"/>
    <x v="6"/>
    <x v="0"/>
    <d v="2025-08-07T00:00:00"/>
    <x v="0"/>
    <s v=" Clear, colorless, practically free of particles"/>
    <n v="3.7770000000000001"/>
    <n v="7.28"/>
    <n v="75261"/>
    <n v="1.98"/>
    <n v="97.61"/>
    <n v="0.41"/>
    <n v="1905061"/>
  </r>
  <r>
    <s v="FD-003-008"/>
    <s v="Phosphate"/>
    <n v="7.5"/>
    <s v="20 mg/mL Arg HCl, 50 mg/mL sucrose"/>
    <x v="7"/>
    <x v="0"/>
    <d v="2025-08-07T00:00:00"/>
    <x v="0"/>
    <s v=" Clear, colorless, practically free of particles"/>
    <n v="3.43"/>
    <n v="7.39"/>
    <n v="75266"/>
    <n v="1.93"/>
    <n v="97.63"/>
    <n v="0.44"/>
    <n v="1733951"/>
  </r>
  <r>
    <s v="FD-003-009"/>
    <s v="Phosphate"/>
    <n v="7.5"/>
    <s v="4 mg/mL NaCl, 50 mg/mL sucrose"/>
    <x v="8"/>
    <x v="0"/>
    <d v="2025-08-07T00:00:00"/>
    <x v="0"/>
    <s v=" Clear, colorless, practically free of particles"/>
    <n v="3.609"/>
    <n v="7.31"/>
    <n v="75281"/>
    <n v="1.99"/>
    <n v="97.59"/>
    <n v="0.41"/>
    <n v="1832519"/>
  </r>
  <r>
    <s v="FD-003-010"/>
    <s v="Citrate"/>
    <n v="6.2"/>
    <s v="None"/>
    <x v="9"/>
    <x v="0"/>
    <d v="2025-08-07T00:00:00"/>
    <x v="0"/>
    <s v=" Clear, colorless, practically free of particles"/>
    <n v="3.7589999999999999"/>
    <n v="6.1"/>
    <n v="75286"/>
    <n v="1.92"/>
    <n v="97.65"/>
    <n v="0.43"/>
    <n v="1922116"/>
  </r>
  <r>
    <s v="FD-003-011"/>
    <s v="Citrate"/>
    <n v="6.2"/>
    <s v="20 mg/mL Arg HCl, 50 mg/mL sucrose"/>
    <x v="10"/>
    <x v="0"/>
    <d v="2025-08-07T00:00:00"/>
    <x v="0"/>
    <s v=" Clear, colorless, practically free of particles"/>
    <n v="3.3769999999999998"/>
    <n v="6.18"/>
    <n v="75291"/>
    <n v="1.89"/>
    <n v="97.67"/>
    <n v="0.44"/>
    <n v="1725074"/>
  </r>
  <r>
    <s v="FD-003-012"/>
    <s v="Citrate"/>
    <n v="6.2"/>
    <s v="4 mg/mL NaCl, 50 mg/mL sucrose"/>
    <x v="11"/>
    <x v="0"/>
    <d v="2025-08-07T00:00:00"/>
    <x v="0"/>
    <s v=" Clear, colorless, practically free of particles"/>
    <n v="3.2749999999999999"/>
    <n v="6.16"/>
    <n v="75296"/>
    <n v="1.87"/>
    <n v="97.7"/>
    <n v="0.43"/>
    <n v="1661751"/>
  </r>
  <r>
    <s v="FD-003-013"/>
    <s v="Citrate"/>
    <n v="6.8"/>
    <s v="None"/>
    <x v="12"/>
    <x v="0"/>
    <d v="2025-08-07T00:00:00"/>
    <x v="0"/>
    <s v=" Clear, colorless, practically free of particles"/>
    <n v="3.6"/>
    <n v="6.7"/>
    <n v="75301"/>
    <n v="1.88"/>
    <n v="97.65"/>
    <n v="0.46"/>
    <n v="1830297"/>
  </r>
  <r>
    <s v="FD-003-014"/>
    <s v="Citrate"/>
    <n v="6.8"/>
    <s v="20 mg/mL Arg HCl, 50 mg/mL sucrose"/>
    <x v="13"/>
    <x v="0"/>
    <d v="2025-08-07T00:00:00"/>
    <x v="0"/>
    <s v=" Clear, colorless, practically free of particles"/>
    <n v="3.24"/>
    <n v="6.78"/>
    <n v="75306"/>
    <n v="1.92"/>
    <n v="97.6"/>
    <n v="0.48"/>
    <n v="1653029"/>
  </r>
  <r>
    <s v="FD-003-015"/>
    <s v="Citrate"/>
    <n v="6.8"/>
    <s v="4 mg/mL NaCl, 50 mg/mL sucrose"/>
    <x v="14"/>
    <x v="0"/>
    <d v="2025-08-07T00:00:00"/>
    <x v="0"/>
    <s v=" Clear, colorless, practically free of particles"/>
    <n v="3.347"/>
    <n v="6.76"/>
    <n v="75311"/>
    <n v="1.91"/>
    <n v="97.59"/>
    <n v="0.5"/>
    <n v="1724543"/>
  </r>
  <r>
    <s v="FD-003-001"/>
    <s v="Phosphate"/>
    <n v="6.5"/>
    <s v="None"/>
    <x v="0"/>
    <x v="1"/>
    <d v="2025-08-07T00:00:00"/>
    <x v="0"/>
    <s v=" Clear, colorless, practically free of particles"/>
    <n v="3.843"/>
    <n v="6.37"/>
    <n v="75231"/>
    <n v="1.94"/>
    <n v="97.75"/>
    <n v="0.31"/>
    <n v="1918688"/>
  </r>
  <r>
    <s v="FD-003-002"/>
    <s v="Phosphate"/>
    <n v="6.5"/>
    <s v="20 mg/mL Arg HCl, 50 mg/mL sucrose"/>
    <x v="1"/>
    <x v="1"/>
    <d v="2025-08-07T00:00:00"/>
    <x v="0"/>
    <s v=" Clear, colorless, practically free of particles"/>
    <n v="3.6240000000000001"/>
    <n v="6.36"/>
    <n v="75236"/>
    <n v="1.94"/>
    <n v="97.71"/>
    <n v="0.35"/>
    <n v="1802190"/>
  </r>
  <r>
    <s v="FD-003-003"/>
    <s v="Phosphate"/>
    <n v="6.5"/>
    <s v="4 mg/mL NaCl, 50 mg/mL sucrose"/>
    <x v="2"/>
    <x v="1"/>
    <d v="2025-08-07T00:00:00"/>
    <x v="0"/>
    <s v=" Clear, colorless, practically free of particles"/>
    <n v="3.6629999999999998"/>
    <n v="6.46"/>
    <n v="75241"/>
    <n v="1.92"/>
    <n v="97.72"/>
    <n v="0.36"/>
    <n v="1823294"/>
  </r>
  <r>
    <s v="FD-003-004"/>
    <s v="Phosphate"/>
    <n v="7"/>
    <s v="None"/>
    <x v="3"/>
    <x v="1"/>
    <d v="2025-08-07T00:00:00"/>
    <x v="0"/>
    <s v=" Clear, colorless, practically free of particles"/>
    <n v="3.7309999999999999"/>
    <n v="6.85"/>
    <n v="75246"/>
    <n v="1.88"/>
    <n v="97.69"/>
    <n v="0.43"/>
    <n v="1879146"/>
  </r>
  <r>
    <s v="FD-003-005"/>
    <s v="Phosphate"/>
    <n v="7"/>
    <s v="20 mg/mL Arg HCl, 50 mg/mL sucrose"/>
    <x v="4"/>
    <x v="1"/>
    <d v="2025-08-07T00:00:00"/>
    <x v="0"/>
    <s v=" Clear, colorless, practically free of particles"/>
    <n v="3.5449999999999999"/>
    <n v="6.88"/>
    <n v="75251"/>
    <n v="1.89"/>
    <n v="97.64"/>
    <n v="0.46"/>
    <n v="1801495"/>
  </r>
  <r>
    <s v="FD-003-006"/>
    <s v="Phosphate"/>
    <n v="7"/>
    <s v="4 mg/mL NaCl, 50 mg/mL sucrose"/>
    <x v="5"/>
    <x v="1"/>
    <d v="2025-08-07T00:00:00"/>
    <x v="0"/>
    <s v=" Clear, colorless, practically free of particles"/>
    <n v="3.6040000000000001"/>
    <n v="6.9"/>
    <n v="75256"/>
    <n v="1.88"/>
    <n v="97.67"/>
    <n v="0.45"/>
    <n v="1818299"/>
  </r>
  <r>
    <s v="FD-003-007"/>
    <s v="Phosphate"/>
    <n v="7.5"/>
    <s v="None"/>
    <x v="6"/>
    <x v="1"/>
    <d v="2025-08-07T00:00:00"/>
    <x v="0"/>
    <s v=" Clear, colorless, practically free of particles"/>
    <n v="3.7770000000000001"/>
    <n v="7.28"/>
    <n v="75261"/>
    <n v="1.98"/>
    <n v="97.61"/>
    <n v="0.41"/>
    <n v="1905061"/>
  </r>
  <r>
    <s v="FD-003-008"/>
    <s v="Phosphate"/>
    <n v="7.5"/>
    <s v="20 mg/mL Arg HCl, 50 mg/mL sucrose"/>
    <x v="7"/>
    <x v="1"/>
    <d v="2025-08-07T00:00:00"/>
    <x v="0"/>
    <s v=" Clear, colorless, practically free of particles"/>
    <n v="3.43"/>
    <n v="7.39"/>
    <n v="75266"/>
    <n v="1.93"/>
    <n v="97.63"/>
    <n v="0.44"/>
    <n v="1733951"/>
  </r>
  <r>
    <s v="FD-003-009"/>
    <s v="Phosphate"/>
    <n v="7.5"/>
    <s v="4 mg/mL NaCl, 50 mg/mL sucrose"/>
    <x v="8"/>
    <x v="1"/>
    <d v="2025-08-07T00:00:00"/>
    <x v="0"/>
    <s v=" Clear, colorless, practically free of particles"/>
    <n v="3.609"/>
    <n v="7.31"/>
    <n v="75281"/>
    <n v="1.99"/>
    <n v="97.59"/>
    <n v="0.41"/>
    <n v="1832519"/>
  </r>
  <r>
    <s v="FD-003-010"/>
    <s v="Citrate"/>
    <n v="6.2"/>
    <s v="None"/>
    <x v="9"/>
    <x v="1"/>
    <d v="2025-08-07T00:00:00"/>
    <x v="0"/>
    <s v=" Clear, colorless, practically free of particles"/>
    <n v="3.7589999999999999"/>
    <n v="6.1"/>
    <n v="75286"/>
    <n v="1.92"/>
    <n v="97.65"/>
    <n v="0.43"/>
    <n v="1922116"/>
  </r>
  <r>
    <s v="FD-003-011"/>
    <s v="Citrate"/>
    <n v="6.2"/>
    <s v="20 mg/mL Arg HCl, 50 mg/mL sucrose"/>
    <x v="10"/>
    <x v="1"/>
    <d v="2025-08-07T00:00:00"/>
    <x v="0"/>
    <s v=" Clear, colorless, practically free of particles"/>
    <n v="3.3769999999999998"/>
    <n v="6.18"/>
    <n v="75291"/>
    <n v="1.89"/>
    <n v="97.67"/>
    <n v="0.44"/>
    <n v="1725074"/>
  </r>
  <r>
    <s v="FD-003-012"/>
    <s v="Citrate"/>
    <n v="6.2"/>
    <s v="4 mg/mL NaCl, 50 mg/mL sucrose"/>
    <x v="11"/>
    <x v="1"/>
    <d v="2025-08-07T00:00:00"/>
    <x v="0"/>
    <s v=" Clear, colorless, practically free of particles"/>
    <n v="3.2749999999999999"/>
    <n v="6.16"/>
    <n v="75296"/>
    <n v="1.87"/>
    <n v="97.7"/>
    <n v="0.43"/>
    <n v="1661751"/>
  </r>
  <r>
    <s v="FD-003-013"/>
    <s v="Citrate"/>
    <n v="6.8"/>
    <s v="None"/>
    <x v="12"/>
    <x v="1"/>
    <d v="2025-08-07T00:00:00"/>
    <x v="0"/>
    <s v=" Clear, colorless, practically free of particles"/>
    <n v="3.6"/>
    <n v="6.7"/>
    <n v="75301"/>
    <n v="1.88"/>
    <n v="97.65"/>
    <n v="0.46"/>
    <n v="1830297"/>
  </r>
  <r>
    <s v="FD-003-014"/>
    <s v="Citrate"/>
    <n v="6.8"/>
    <s v="20 mg/mL Arg HCl, 50 mg/mL sucrose"/>
    <x v="13"/>
    <x v="1"/>
    <d v="2025-08-07T00:00:00"/>
    <x v="0"/>
    <s v=" Clear, colorless, practically free of particles"/>
    <n v="3.24"/>
    <n v="6.78"/>
    <n v="75306"/>
    <n v="1.92"/>
    <n v="97.6"/>
    <n v="0.48"/>
    <n v="1653029"/>
  </r>
  <r>
    <s v="FD-003-015"/>
    <s v="Citrate"/>
    <n v="6.8"/>
    <s v="4 mg/mL NaCl, 50 mg/mL sucrose"/>
    <x v="14"/>
    <x v="1"/>
    <d v="2025-08-07T00:00:00"/>
    <x v="0"/>
    <s v=" Clear, colorless, practically free of particles"/>
    <n v="3.347"/>
    <n v="6.76"/>
    <n v="75311"/>
    <n v="1.91"/>
    <n v="97.59"/>
    <n v="0.5"/>
    <n v="1724543"/>
  </r>
  <r>
    <s v="FD-003-001"/>
    <s v="Phosphate"/>
    <n v="6.5"/>
    <s v="None"/>
    <x v="0"/>
    <x v="2"/>
    <d v="2025-08-07T00:00:00"/>
    <x v="1"/>
    <s v=" Clear, colorless, practically free of particles"/>
    <n v="3.843"/>
    <n v="6.37"/>
    <n v="75231"/>
    <n v="1.94"/>
    <n v="97.75"/>
    <n v="0.31"/>
    <n v="1918688"/>
  </r>
  <r>
    <s v="FD-003-002"/>
    <s v="Phosphate"/>
    <n v="6.5"/>
    <s v="20 mg/mL Arg HCl, 50 mg/mL sucrose"/>
    <x v="1"/>
    <x v="2"/>
    <d v="2025-08-07T00:00:00"/>
    <x v="1"/>
    <s v=" Clear, colorless, practically free of particles"/>
    <n v="3.6240000000000001"/>
    <n v="6.36"/>
    <n v="75236"/>
    <n v="1.94"/>
    <n v="97.71"/>
    <n v="0.35"/>
    <n v="1802190"/>
  </r>
  <r>
    <s v="FD-003-003"/>
    <s v="Phosphate"/>
    <n v="6.5"/>
    <s v="4 mg/mL NaCl, 50 mg/mL sucrose"/>
    <x v="2"/>
    <x v="2"/>
    <d v="2025-08-07T00:00:00"/>
    <x v="1"/>
    <s v=" Clear, colorless, practically free of particles"/>
    <n v="3.6629999999999998"/>
    <n v="6.46"/>
    <n v="75241"/>
    <n v="1.92"/>
    <n v="97.72"/>
    <n v="0.36"/>
    <n v="1823294"/>
  </r>
  <r>
    <s v="FD-003-004"/>
    <s v="Phosphate"/>
    <n v="7"/>
    <s v="None"/>
    <x v="3"/>
    <x v="2"/>
    <d v="2025-08-07T00:00:00"/>
    <x v="1"/>
    <s v=" Clear, colorless, practically free of particles"/>
    <n v="3.7309999999999999"/>
    <n v="6.85"/>
    <n v="75246"/>
    <n v="1.88"/>
    <n v="97.69"/>
    <n v="0.43"/>
    <n v="1879146"/>
  </r>
  <r>
    <s v="FD-003-005"/>
    <s v="Phosphate"/>
    <n v="7"/>
    <s v="20 mg/mL Arg HCl, 50 mg/mL sucrose"/>
    <x v="4"/>
    <x v="2"/>
    <d v="2025-08-07T00:00:00"/>
    <x v="1"/>
    <s v=" Clear, colorless, practically free of particles"/>
    <n v="3.5449999999999999"/>
    <n v="6.88"/>
    <n v="75251"/>
    <n v="1.89"/>
    <n v="97.64"/>
    <n v="0.46"/>
    <n v="1801495"/>
  </r>
  <r>
    <s v="FD-003-006"/>
    <s v="Phosphate"/>
    <n v="7"/>
    <s v="4 mg/mL NaCl, 50 mg/mL sucrose"/>
    <x v="5"/>
    <x v="2"/>
    <d v="2025-08-07T00:00:00"/>
    <x v="1"/>
    <s v=" Clear, colorless, practically free of particles"/>
    <n v="3.6040000000000001"/>
    <n v="6.9"/>
    <n v="75256"/>
    <n v="1.88"/>
    <n v="97.67"/>
    <n v="0.45"/>
    <n v="1818299"/>
  </r>
  <r>
    <s v="FD-003-007"/>
    <s v="Phosphate"/>
    <n v="7.5"/>
    <s v="None"/>
    <x v="6"/>
    <x v="2"/>
    <d v="2025-08-07T00:00:00"/>
    <x v="1"/>
    <s v=" Clear, colorless, practically free of particles"/>
    <n v="3.7770000000000001"/>
    <n v="7.28"/>
    <n v="75261"/>
    <n v="1.98"/>
    <n v="97.61"/>
    <n v="0.41"/>
    <n v="1905061"/>
  </r>
  <r>
    <s v="FD-003-008"/>
    <s v="Phosphate"/>
    <n v="7.5"/>
    <s v="20 mg/mL Arg HCl, 50 mg/mL sucrose"/>
    <x v="7"/>
    <x v="2"/>
    <d v="2025-08-07T00:00:00"/>
    <x v="1"/>
    <s v=" Clear, colorless, practically free of particles"/>
    <n v="3.43"/>
    <n v="7.39"/>
    <n v="75266"/>
    <n v="1.93"/>
    <n v="97.63"/>
    <n v="0.44"/>
    <n v="1733951"/>
  </r>
  <r>
    <s v="FD-003-009"/>
    <s v="Phosphate"/>
    <n v="7.5"/>
    <s v="4 mg/mL NaCl, 50 mg/mL sucrose"/>
    <x v="8"/>
    <x v="2"/>
    <d v="2025-08-07T00:00:00"/>
    <x v="1"/>
    <s v=" Clear, colorless, practically free of particles"/>
    <n v="3.609"/>
    <n v="7.31"/>
    <n v="75281"/>
    <n v="1.99"/>
    <n v="97.59"/>
    <n v="0.41"/>
    <n v="1832519"/>
  </r>
  <r>
    <s v="FD-003-010"/>
    <s v="Citrate"/>
    <n v="6.2"/>
    <s v="None"/>
    <x v="9"/>
    <x v="2"/>
    <d v="2025-08-07T00:00:00"/>
    <x v="1"/>
    <s v=" Clear, colorless, practically free of particles"/>
    <n v="3.7589999999999999"/>
    <n v="6.1"/>
    <n v="75286"/>
    <n v="1.92"/>
    <n v="97.65"/>
    <n v="0.43"/>
    <n v="1922116"/>
  </r>
  <r>
    <s v="FD-003-011"/>
    <s v="Citrate"/>
    <n v="6.2"/>
    <s v="20 mg/mL Arg HCl, 50 mg/mL sucrose"/>
    <x v="10"/>
    <x v="2"/>
    <d v="2025-08-07T00:00:00"/>
    <x v="1"/>
    <s v=" Clear, colorless, practically free of particles"/>
    <n v="3.3769999999999998"/>
    <n v="6.18"/>
    <n v="75291"/>
    <n v="1.89"/>
    <n v="97.67"/>
    <n v="0.44"/>
    <n v="1725074"/>
  </r>
  <r>
    <s v="FD-003-012"/>
    <s v="Citrate"/>
    <n v="6.2"/>
    <s v="4 mg/mL NaCl, 50 mg/mL sucrose"/>
    <x v="11"/>
    <x v="2"/>
    <d v="2025-08-07T00:00:00"/>
    <x v="1"/>
    <s v=" Clear, colorless, practically free of particles"/>
    <n v="3.2749999999999999"/>
    <n v="6.16"/>
    <n v="75296"/>
    <n v="1.87"/>
    <n v="97.7"/>
    <n v="0.43"/>
    <n v="1661751"/>
  </r>
  <r>
    <s v="FD-003-013"/>
    <s v="Citrate"/>
    <n v="6.8"/>
    <s v="None"/>
    <x v="12"/>
    <x v="2"/>
    <d v="2025-08-07T00:00:00"/>
    <x v="1"/>
    <s v=" Clear, colorless, practically free of particles"/>
    <n v="3.6"/>
    <n v="6.7"/>
    <n v="75301"/>
    <n v="1.88"/>
    <n v="97.65"/>
    <n v="0.46"/>
    <n v="1830297"/>
  </r>
  <r>
    <s v="FD-003-014"/>
    <s v="Citrate"/>
    <n v="6.8"/>
    <s v="20 mg/mL Arg HCl, 50 mg/mL sucrose"/>
    <x v="13"/>
    <x v="2"/>
    <d v="2025-08-07T00:00:00"/>
    <x v="1"/>
    <s v=" Clear, colorless, practically free of particles"/>
    <n v="3.24"/>
    <n v="6.78"/>
    <n v="75306"/>
    <n v="1.92"/>
    <n v="97.6"/>
    <n v="0.48"/>
    <n v="1653029"/>
  </r>
  <r>
    <s v="FD-003-015"/>
    <s v="Citrate"/>
    <n v="6.8"/>
    <s v="4 mg/mL NaCl, 50 mg/mL sucrose"/>
    <x v="14"/>
    <x v="2"/>
    <d v="2025-08-07T00:00:00"/>
    <x v="1"/>
    <s v=" Clear, colorless, practically free of particles"/>
    <n v="3.347"/>
    <n v="6.76"/>
    <n v="75311"/>
    <n v="1.91"/>
    <n v="97.59"/>
    <n v="0.5"/>
    <n v="1724543"/>
  </r>
  <r>
    <s v="FD-003-016"/>
    <s v="Phosphate"/>
    <n v="6.5"/>
    <s v="None"/>
    <x v="0"/>
    <x v="1"/>
    <d v="2025-08-11T00:00:00"/>
    <x v="2"/>
    <s v=" Clear, colorless, practically free of particles"/>
    <n v="3.8519999999999999"/>
    <n v="6.42"/>
    <n v="75442"/>
    <n v="2.5299999999999998"/>
    <n v="96.71"/>
    <n v="0.76"/>
    <n v="1916887"/>
  </r>
  <r>
    <s v="FD-003-017"/>
    <s v="Phosphate"/>
    <n v="6.5"/>
    <s v="20 mg/mL Arg HCl, 50 mg/mL sucrose"/>
    <x v="1"/>
    <x v="1"/>
    <d v="2025-08-11T00:00:00"/>
    <x v="2"/>
    <s v=" Clear, colorless, practically free of particles"/>
    <n v="3.6150000000000002"/>
    <n v="6.36"/>
    <n v="75447"/>
    <n v="2.19"/>
    <n v="97.08"/>
    <n v="0.73"/>
    <n v="1799329"/>
  </r>
  <r>
    <s v="FD-003-018"/>
    <s v="Phosphate"/>
    <n v="6.5"/>
    <s v="4 mg/mL NaCl, 50 mg/mL sucrose"/>
    <x v="2"/>
    <x v="1"/>
    <d v="2025-08-11T00:00:00"/>
    <x v="2"/>
    <s v=" Clear, colorless, practically free of particles"/>
    <n v="3.6360000000000001"/>
    <n v="6.46"/>
    <n v="75452"/>
    <n v="2.41"/>
    <n v="96.52"/>
    <n v="1.08"/>
    <n v="1820526"/>
  </r>
  <r>
    <s v="FD-003-019"/>
    <s v="Phosphate"/>
    <n v="7"/>
    <s v="None"/>
    <x v="3"/>
    <x v="1"/>
    <d v="2025-08-11T00:00:00"/>
    <x v="2"/>
    <s v=" Clear, colorless, practically free of particles"/>
    <n v="3.7440000000000002"/>
    <n v="6.85"/>
    <n v="75457"/>
    <n v="2.67"/>
    <n v="96.13"/>
    <n v="1.2"/>
    <n v="1875870"/>
  </r>
  <r>
    <s v="FD-003-020"/>
    <s v="Phosphate"/>
    <n v="7"/>
    <s v="20 mg/mL Arg HCl, 50 mg/mL sucrose"/>
    <x v="4"/>
    <x v="1"/>
    <d v="2025-08-11T00:00:00"/>
    <x v="2"/>
    <s v=" Clear, colorless, practically free of particles"/>
    <n v="3.5329999999999999"/>
    <n v="6.89"/>
    <n v="75462"/>
    <n v="2.27"/>
    <n v="96.82"/>
    <n v="0.92"/>
    <n v="1785565"/>
  </r>
  <r>
    <s v="FD-003-021"/>
    <s v="Phosphate"/>
    <n v="7"/>
    <s v="4 mg/mL NaCl, 50 mg/mL sucrose"/>
    <x v="5"/>
    <x v="1"/>
    <d v="2025-08-11T00:00:00"/>
    <x v="2"/>
    <s v=" Clear, colorless, practically free of particles"/>
    <n v="3.59"/>
    <n v="6.91"/>
    <n v="75467"/>
    <n v="2.54"/>
    <n v="95.79"/>
    <n v="1.67"/>
    <n v="1806519"/>
  </r>
  <r>
    <s v="FD-003-022"/>
    <s v="Phosphate"/>
    <n v="7.5"/>
    <s v="None"/>
    <x v="6"/>
    <x v="1"/>
    <d v="2025-08-11T00:00:00"/>
    <x v="2"/>
    <s v=" Clear, colorless, practically free of particles"/>
    <n v="3.7120000000000002"/>
    <n v="7.3"/>
    <n v="75472"/>
    <n v="2.82"/>
    <n v="95.38"/>
    <n v="1.8"/>
    <n v="1887063"/>
  </r>
  <r>
    <s v="FD-003-023"/>
    <s v="Phosphate"/>
    <n v="7.5"/>
    <s v="20 mg/mL Arg HCl, 50 mg/mL sucrose"/>
    <x v="7"/>
    <x v="1"/>
    <d v="2025-08-11T00:00:00"/>
    <x v="2"/>
    <s v=" Clear, colorless, practically free of particles"/>
    <n v="3.423"/>
    <n v="7.38"/>
    <n v="75477"/>
    <n v="2.4"/>
    <n v="96.22"/>
    <n v="1.38"/>
    <n v="1735803"/>
  </r>
  <r>
    <s v="FD-003-024"/>
    <s v="Phosphate"/>
    <n v="7.5"/>
    <s v="4 mg/mL NaCl, 50 mg/mL sucrose"/>
    <x v="8"/>
    <x v="1"/>
    <d v="2025-08-11T00:00:00"/>
    <x v="2"/>
    <s v=" Clear, colorless, practically free of particles"/>
    <n v="3.613"/>
    <n v="7.32"/>
    <n v="75492"/>
    <n v="2.64"/>
    <n v="95.13"/>
    <n v="2.23"/>
    <n v="1837366"/>
  </r>
  <r>
    <s v="FD-003-025"/>
    <s v="Citrate"/>
    <n v="6.2"/>
    <s v="None"/>
    <x v="9"/>
    <x v="1"/>
    <d v="2025-08-11T00:00:00"/>
    <x v="2"/>
    <s v=" Clear, colorless, practically free of particles"/>
    <n v="3.7389999999999999"/>
    <n v="6.09"/>
    <n v="75497"/>
    <n v="2.27"/>
    <n v="97.06"/>
    <n v="0.67"/>
    <n v="1929969"/>
  </r>
  <r>
    <s v="FD-003-026"/>
    <s v="Citrate"/>
    <n v="6.2"/>
    <s v="20 mg/mL Arg HCl, 50 mg/mL sucrose"/>
    <x v="10"/>
    <x v="1"/>
    <d v="2025-08-11T00:00:00"/>
    <x v="2"/>
    <s v=" Clear, colorless, practically free of particles"/>
    <n v="3.3690000000000002"/>
    <n v="6.2"/>
    <n v="75502"/>
    <n v="2.1"/>
    <n v="97.24"/>
    <n v="0.67"/>
    <n v="1730262"/>
  </r>
  <r>
    <s v="FD-003-027"/>
    <s v="Citrate"/>
    <n v="6.2"/>
    <s v="4 mg/mL NaCl, 50 mg/mL sucrose"/>
    <x v="11"/>
    <x v="1"/>
    <d v="2025-08-11T00:00:00"/>
    <x v="2"/>
    <s v=" Clear, colorless, practically free of particles"/>
    <n v="3.2509999999999999"/>
    <n v="6.16"/>
    <n v="75507"/>
    <n v="2.17"/>
    <n v="97.13"/>
    <n v="0.7"/>
    <n v="1673057"/>
  </r>
  <r>
    <s v="FD-003-028"/>
    <s v="Citrate"/>
    <n v="6.8"/>
    <s v="None"/>
    <x v="12"/>
    <x v="1"/>
    <d v="2025-08-11T00:00:00"/>
    <x v="2"/>
    <s v=" Clear, colorless, practically free of particles"/>
    <n v="3.5630000000000002"/>
    <n v="6.73"/>
    <n v="75512"/>
    <n v="2.41"/>
    <n v="96.86"/>
    <n v="0.73"/>
    <n v="1823839"/>
  </r>
  <r>
    <s v="FD-003-029"/>
    <s v="Citrate"/>
    <n v="6.8"/>
    <s v="20 mg/mL Arg HCl, 50 mg/mL sucrose"/>
    <x v="13"/>
    <x v="1"/>
    <d v="2025-08-11T00:00:00"/>
    <x v="2"/>
    <s v=" Clear, colorless, practically free of particles"/>
    <n v="3.22"/>
    <n v="6.79"/>
    <n v="75517"/>
    <n v="2.1800000000000002"/>
    <n v="97.01"/>
    <n v="0.81"/>
    <n v="1647529"/>
  </r>
  <r>
    <s v="FD-003-030"/>
    <s v="Citrate"/>
    <n v="6.8"/>
    <s v="4 mg/mL NaCl, 50 mg/mL sucrose"/>
    <x v="14"/>
    <x v="1"/>
    <d v="2025-08-11T00:00:00"/>
    <x v="2"/>
    <s v=" Clear, colorless, practically free of particles"/>
    <n v="3.3490000000000002"/>
    <n v="6.79"/>
    <n v="75522"/>
    <n v="2.2599999999999998"/>
    <n v="97"/>
    <n v="0.74"/>
    <n v="1731306"/>
  </r>
  <r>
    <s v="FD-003-031"/>
    <s v="Phosphate"/>
    <n v="6.5"/>
    <s v="None"/>
    <x v="0"/>
    <x v="0"/>
    <d v="2025-08-14T00:00:00"/>
    <x v="3"/>
    <s v=" Clear, colorless, practically free of particles"/>
    <n v="3.8340000000000001"/>
    <n v="6.37"/>
    <n v="75799"/>
    <n v="2.2200000000000002"/>
    <n v="97.32"/>
    <n v="0.45"/>
    <n v="1919907"/>
  </r>
  <r>
    <s v="FD-003-032"/>
    <s v="Phosphate"/>
    <n v="6.5"/>
    <s v="20 mg/mL Arg HCl, 50 mg/mL sucrose"/>
    <x v="1"/>
    <x v="0"/>
    <d v="2025-08-14T00:00:00"/>
    <x v="3"/>
    <s v=" Clear, colorless, practically free of particles"/>
    <n v="3.5950000000000002"/>
    <n v="6.38"/>
    <n v="75804"/>
    <n v="1.99"/>
    <n v="97.63"/>
    <n v="0.38"/>
    <n v="1802400"/>
  </r>
  <r>
    <s v="FD-003-033"/>
    <s v="Phosphate"/>
    <n v="6.5"/>
    <s v="4 mg/mL NaCl, 50 mg/mL sucrose"/>
    <x v="2"/>
    <x v="0"/>
    <d v="2025-08-14T00:00:00"/>
    <x v="3"/>
    <s v=" Clear, colorless, practically free of particles"/>
    <n v="3.6059999999999999"/>
    <n v="6.46"/>
    <n v="75809"/>
    <n v="2.14"/>
    <n v="97.33"/>
    <n v="0.53"/>
    <n v="1831976"/>
  </r>
  <r>
    <s v="FD-003-034"/>
    <s v="Phosphate"/>
    <n v="7"/>
    <s v="None"/>
    <x v="3"/>
    <x v="0"/>
    <d v="2025-08-14T00:00:00"/>
    <x v="3"/>
    <s v=" Clear, colorless, practically free of particles"/>
    <n v="3.71"/>
    <n v="6.86"/>
    <n v="75814"/>
    <n v="2.19"/>
    <n v="97.33"/>
    <n v="0.48"/>
    <n v="1885757"/>
  </r>
  <r>
    <s v="FD-003-035"/>
    <s v="Phosphate"/>
    <n v="7"/>
    <s v="20 mg/mL Arg HCl, 50 mg/mL sucrose"/>
    <x v="4"/>
    <x v="0"/>
    <d v="2025-08-14T00:00:00"/>
    <x v="3"/>
    <s v=" Clear, colorless, practically free of particles"/>
    <n v="3.56"/>
    <n v="6.87"/>
    <n v="75819"/>
    <n v="2.0499999999999998"/>
    <n v="97.45"/>
    <n v="0.5"/>
    <n v="1800474"/>
  </r>
  <r>
    <s v="FD-003-036"/>
    <s v="Phosphate"/>
    <n v="7"/>
    <s v="4 mg/mL NaCl, 50 mg/mL sucrose"/>
    <x v="5"/>
    <x v="0"/>
    <d v="2025-08-14T00:00:00"/>
    <x v="3"/>
    <s v=" Clear, colorless, practically free of particles"/>
    <n v="3.59"/>
    <n v="6.91"/>
    <n v="75824"/>
    <n v="2.17"/>
    <n v="97.3"/>
    <n v="0.52"/>
    <n v="1817683"/>
  </r>
  <r>
    <s v="FD-003-037"/>
    <s v="Phosphate"/>
    <n v="7.5"/>
    <s v="None"/>
    <x v="6"/>
    <x v="0"/>
    <d v="2025-08-14T00:00:00"/>
    <x v="3"/>
    <s v=" Clear, colorless, practically free of particles"/>
    <n v="3.746"/>
    <n v="7.3"/>
    <n v="75829"/>
    <n v="2.36"/>
    <n v="97"/>
    <n v="0.64"/>
    <n v="1909343"/>
  </r>
  <r>
    <s v="FD-003-038"/>
    <s v="Phosphate"/>
    <n v="7.5"/>
    <s v="20 mg/mL Arg HCl, 50 mg/mL sucrose"/>
    <x v="7"/>
    <x v="0"/>
    <d v="2025-08-14T00:00:00"/>
    <x v="3"/>
    <s v=" Clear, colorless, practically free of particles"/>
    <n v="3.41"/>
    <n v="7.41"/>
    <n v="75845"/>
    <n v="2.16"/>
    <n v="97.21"/>
    <n v="0.63"/>
    <n v="1738436"/>
  </r>
  <r>
    <s v="FD-003-039"/>
    <s v="Phosphate"/>
    <n v="7.5"/>
    <s v="4 mg/mL NaCl, 50 mg/mL sucrose"/>
    <x v="8"/>
    <x v="0"/>
    <d v="2025-08-14T00:00:00"/>
    <x v="3"/>
    <s v="Clear, colorless, one long white fibrous particle ~2-3 mm"/>
    <n v="3.6040000000000001"/>
    <n v="7.32"/>
    <n v="75868"/>
    <n v="2.25"/>
    <n v="97.13"/>
    <n v="0.62"/>
    <n v="1840847"/>
  </r>
  <r>
    <s v="FD-003-040"/>
    <s v="Citrate"/>
    <n v="6.2"/>
    <s v="None"/>
    <x v="9"/>
    <x v="0"/>
    <d v="2025-08-14T00:00:00"/>
    <x v="3"/>
    <s v=" Clear, colorless, practically free of particles"/>
    <n v="3.7290000000000001"/>
    <n v="6.1"/>
    <n v="75873"/>
    <n v="2.06"/>
    <n v="97.49"/>
    <n v="0.45"/>
    <n v="1926661"/>
  </r>
  <r>
    <s v="FD-003-041"/>
    <s v="Citrate"/>
    <n v="6.2"/>
    <s v="20 mg/mL Arg HCl, 50 mg/mL sucrose"/>
    <x v="10"/>
    <x v="0"/>
    <d v="2025-08-14T00:00:00"/>
    <x v="3"/>
    <s v=" Clear, colorless, practically free of particles"/>
    <n v="3.3439999999999999"/>
    <n v="6.19"/>
    <n v="75878"/>
    <n v="1.97"/>
    <n v="97.5"/>
    <n v="0.54"/>
    <n v="1739526"/>
  </r>
  <r>
    <s v="FD-003-042"/>
    <s v="Citrate"/>
    <n v="6.2"/>
    <s v="4 mg/mL NaCl, 50 mg/mL sucrose"/>
    <x v="11"/>
    <x v="0"/>
    <d v="2025-08-14T00:00:00"/>
    <x v="3"/>
    <s v=" Clear, colorless, practically free of particles"/>
    <n v="3.2360000000000002"/>
    <n v="6.16"/>
    <n v="75883"/>
    <n v="2.02"/>
    <n v="97.47"/>
    <n v="0.51"/>
    <n v="1680240"/>
  </r>
  <r>
    <s v="FD-003-043"/>
    <s v="Citrate"/>
    <n v="6.8"/>
    <s v="None"/>
    <x v="12"/>
    <x v="0"/>
    <d v="2025-08-14T00:00:00"/>
    <x v="3"/>
    <s v=" Clear, colorless, practically free of particles"/>
    <n v="3.5609999999999999"/>
    <n v="6.71"/>
    <n v="75888"/>
    <n v="2.15"/>
    <n v="97.39"/>
    <n v="0.46"/>
    <n v="1846774"/>
  </r>
  <r>
    <s v="FD-003-044"/>
    <s v="Citrate"/>
    <n v="6.8"/>
    <s v="20 mg/mL Arg HCl, 50 mg/mL sucrose"/>
    <x v="13"/>
    <x v="0"/>
    <d v="2025-08-14T00:00:00"/>
    <x v="3"/>
    <s v=" Clear, colorless, practically free of particles"/>
    <n v="3.2210000000000001"/>
    <n v="6.79"/>
    <n v="75894"/>
    <n v="2.1"/>
    <n v="97.39"/>
    <n v="0.51"/>
    <n v="1543208"/>
  </r>
  <r>
    <s v="FD-003-045"/>
    <s v="Citrate"/>
    <n v="6.8"/>
    <s v="4 mg/mL NaCl, 50 mg/mL sucrose"/>
    <x v="14"/>
    <x v="0"/>
    <d v="2025-08-14T00:00:00"/>
    <x v="3"/>
    <s v=" Clear, colorless, practically free of particles"/>
    <n v="3.3340000000000001"/>
    <n v="6.7"/>
    <n v="75899"/>
    <n v="2.11"/>
    <n v="97.34"/>
    <n v="0.55000000000000004"/>
    <n v="1699110"/>
  </r>
  <r>
    <s v="FD-003-046"/>
    <s v="Phosphate"/>
    <n v="6.5"/>
    <s v="None"/>
    <x v="0"/>
    <x v="1"/>
    <d v="2025-08-14T00:00:00"/>
    <x v="3"/>
    <s v=" Clear, colorless, practically free of particles"/>
    <n v="3.86"/>
    <n v="6.41"/>
    <n v="75914"/>
    <n v="2.54"/>
    <n v="96.18"/>
    <n v="1.28"/>
    <n v="2002208"/>
  </r>
  <r>
    <s v="FD-003-047"/>
    <s v="Phosphate"/>
    <n v="6.5"/>
    <s v="20 mg/mL Arg HCl, 50 mg/mL sucrose"/>
    <x v="1"/>
    <x v="1"/>
    <d v="2025-08-14T00:00:00"/>
    <x v="3"/>
    <s v=" Clear, colorless, practically free of particles"/>
    <n v="3.5950000000000002"/>
    <n v="6.38"/>
    <n v="75919"/>
    <n v="2.23"/>
    <n v="96.78"/>
    <n v="0.99"/>
    <n v="1854006"/>
  </r>
  <r>
    <s v="FD-003-048"/>
    <s v="Phosphate"/>
    <n v="6.5"/>
    <s v="4 mg/mL NaCl, 50 mg/mL sucrose"/>
    <x v="2"/>
    <x v="1"/>
    <d v="2025-08-14T00:00:00"/>
    <x v="3"/>
    <s v=" Clear, colorless, practically free of particles"/>
    <n v="3.6339999999999999"/>
    <n v="6.48"/>
    <n v="75924"/>
    <n v="2.38"/>
    <n v="95.93"/>
    <n v="1.68"/>
    <n v="1899246"/>
  </r>
  <r>
    <s v="FD-003-049"/>
    <s v="Phosphate"/>
    <n v="7"/>
    <s v="None"/>
    <x v="3"/>
    <x v="1"/>
    <d v="2025-08-14T00:00:00"/>
    <x v="3"/>
    <s v=" Clear, colorless, practically free of particles"/>
    <n v="3.6880000000000002"/>
    <n v="6.89"/>
    <n v="75929"/>
    <n v="1.62"/>
    <n v="94.58"/>
    <n v="3.8"/>
    <n v="1917606"/>
  </r>
  <r>
    <s v="FD-003-050"/>
    <s v="Phosphate"/>
    <n v="7"/>
    <s v="20 mg/mL Arg HCl, 50 mg/mL sucrose"/>
    <x v="4"/>
    <x v="1"/>
    <d v="2025-08-14T00:00:00"/>
    <x v="3"/>
    <s v=" Clear, colorless, practically free of particles"/>
    <n v="3.5609999999999999"/>
    <n v="6.89"/>
    <n v="75934"/>
    <n v="2.4300000000000002"/>
    <n v="96.11"/>
    <n v="1.46"/>
    <n v="1861976"/>
  </r>
  <r>
    <s v="FD-003-051"/>
    <s v="Phosphate"/>
    <n v="7"/>
    <s v="4 mg/mL NaCl, 50 mg/mL sucrose"/>
    <x v="5"/>
    <x v="1"/>
    <d v="2025-08-14T00:00:00"/>
    <x v="3"/>
    <s v=" Clear, colorless, practically free of particles"/>
    <n v="3.488"/>
    <n v="6.92"/>
    <n v="75939"/>
    <n v="2.4700000000000002"/>
    <n v="94.89"/>
    <n v="2.63"/>
    <n v="1872978"/>
  </r>
  <r>
    <s v="FD-003-052"/>
    <s v="Phosphate"/>
    <n v="7.5"/>
    <s v="None"/>
    <x v="6"/>
    <x v="1"/>
    <d v="2025-08-14T00:00:00"/>
    <x v="3"/>
    <s v=" Clear, colorless, practically free of particles"/>
    <n v="3.758"/>
    <n v="7.3"/>
    <n v="75944"/>
    <n v="2.72"/>
    <n v="94.13"/>
    <n v="3.15"/>
    <n v="1988974"/>
  </r>
  <r>
    <s v="FD-003-053"/>
    <s v="Phosphate"/>
    <n v="7.5"/>
    <s v="20 mg/mL Arg HCl, 50 mg/mL sucrose"/>
    <x v="7"/>
    <x v="1"/>
    <d v="2025-08-14T00:00:00"/>
    <x v="3"/>
    <s v=" Clear, colorless, practically free of particles"/>
    <n v="3.4329999999999998"/>
    <n v="7.42"/>
    <n v="75949"/>
    <n v="2.46"/>
    <n v="95.19"/>
    <n v="2.35"/>
    <n v="1818955"/>
  </r>
  <r>
    <s v="FD-003-054"/>
    <s v="Phosphate"/>
    <n v="7.5"/>
    <s v="4 mg/mL NaCl, 50 mg/mL sucrose"/>
    <x v="8"/>
    <x v="1"/>
    <d v="2025-08-14T00:00:00"/>
    <x v="3"/>
    <s v=" Clear, colorless, practically free of particles"/>
    <n v="3.6"/>
    <n v="7.32"/>
    <n v="75964"/>
    <n v="2.44"/>
    <n v="93.69"/>
    <n v="3.88"/>
    <n v="1893063"/>
  </r>
  <r>
    <s v="FD-003-055"/>
    <s v="Citrate"/>
    <n v="6.2"/>
    <s v="None"/>
    <x v="9"/>
    <x v="1"/>
    <d v="2025-08-14T00:00:00"/>
    <x v="3"/>
    <s v=" Clear, colorless, practically free of particles"/>
    <n v="3.746"/>
    <n v="6.11"/>
    <n v="75969"/>
    <n v="2.36"/>
    <n v="96.88"/>
    <n v="0.76"/>
    <n v="1970245"/>
  </r>
  <r>
    <s v="FD-003-056"/>
    <s v="Citrate"/>
    <n v="6.2"/>
    <s v="20 mg/mL Arg HCl, 50 mg/mL sucrose"/>
    <x v="10"/>
    <x v="1"/>
    <d v="2025-08-14T00:00:00"/>
    <x v="3"/>
    <s v="Clear, colorless, one long white fibrous particle ~1 mm"/>
    <n v="3.363"/>
    <n v="6.18"/>
    <n v="75974"/>
    <n v="2.25"/>
    <n v="96.77"/>
    <n v="0.98"/>
    <n v="1647575"/>
  </r>
  <r>
    <s v="FD-003-057"/>
    <s v="Citrate"/>
    <n v="6.2"/>
    <s v="4 mg/mL NaCl, 50 mg/mL sucrose"/>
    <x v="11"/>
    <x v="1"/>
    <d v="2025-08-14T00:00:00"/>
    <x v="3"/>
    <s v="Clear, colorless, one long white fibrous particle ~1 mm"/>
    <n v="3.262"/>
    <n v="6.17"/>
    <n v="75979"/>
    <n v="2.39"/>
    <n v="96.73"/>
    <n v="0.88"/>
    <n v="1439691"/>
  </r>
  <r>
    <s v="FD-003-058"/>
    <s v="Citrate"/>
    <n v="6.8"/>
    <s v="None"/>
    <x v="12"/>
    <x v="1"/>
    <d v="2025-08-14T00:00:00"/>
    <x v="3"/>
    <s v=" Clear, colorless, practically free of particles"/>
    <n v="3.5470000000000002"/>
    <n v="6.73"/>
    <n v="75984"/>
    <n v="2.5499999999999998"/>
    <n v="96.44"/>
    <n v="1.01"/>
    <n v="1747623"/>
  </r>
  <r>
    <s v="FD-003-059"/>
    <s v="Citrate"/>
    <n v="6.8"/>
    <s v="20 mg/mL Arg HCl, 50 mg/mL sucrose"/>
    <x v="13"/>
    <x v="1"/>
    <d v="2025-08-14T00:00:00"/>
    <x v="3"/>
    <s v=" Clear, colorless, practically free of particles"/>
    <n v="3.2160000000000002"/>
    <n v="6.8"/>
    <n v="75989"/>
    <n v="2.25"/>
    <n v="96.7"/>
    <n v="1.05"/>
    <n v="1709518"/>
  </r>
  <r>
    <s v="FD-003-060"/>
    <s v="Citrate"/>
    <n v="6.8"/>
    <s v="4 mg/mL NaCl, 50 mg/mL sucrose"/>
    <x v="14"/>
    <x v="1"/>
    <d v="2025-08-14T00:00:00"/>
    <x v="3"/>
    <s v=" Clear, colorless, practically free of particles"/>
    <n v="3.3490000000000002"/>
    <n v="6.81"/>
    <n v="75994"/>
    <n v="2.4"/>
    <n v="96.47"/>
    <n v="1.1299999999999999"/>
    <n v="1786832"/>
  </r>
  <r>
    <s v="FD-003-061"/>
    <s v="Phosphate"/>
    <n v="6.5"/>
    <s v="None"/>
    <x v="0"/>
    <x v="0"/>
    <d v="2025-08-21T00:00:00"/>
    <x v="4"/>
    <s v=" Clear, colorless, practically free of particles"/>
    <n v="3.847"/>
    <n v="6.4"/>
    <n v="76696"/>
    <n v="2.23"/>
    <n v="97.36"/>
    <n v="0.4"/>
    <n v="1924334"/>
  </r>
  <r>
    <s v="FD-003-062"/>
    <s v="Phosphate"/>
    <n v="6.5"/>
    <s v="20 mg/mL Arg HCl, 50 mg/mL sucrose"/>
    <x v="1"/>
    <x v="0"/>
    <d v="2025-08-21T00:00:00"/>
    <x v="4"/>
    <s v=" Clear, colorless, practically free of particles"/>
    <n v="3.613"/>
    <n v="6.39"/>
    <n v="76701"/>
    <n v="2.08"/>
    <n v="97.49"/>
    <n v="0.43"/>
    <n v="1797038"/>
  </r>
  <r>
    <s v="FD-003-063"/>
    <s v="Phosphate"/>
    <n v="6.5"/>
    <s v="4 mg/mL NaCl, 50 mg/mL sucrose"/>
    <x v="2"/>
    <x v="0"/>
    <d v="2025-08-21T00:00:00"/>
    <x v="4"/>
    <s v=" Clear, colorless, practically free of particles"/>
    <n v="3.6469999999999998"/>
    <n v="6.48"/>
    <n v="76706"/>
    <n v="2.1800000000000002"/>
    <n v="97.2"/>
    <n v="0.62"/>
    <n v="1836194"/>
  </r>
  <r>
    <s v="FD-003-064"/>
    <s v="Phosphate"/>
    <n v="7"/>
    <s v="None"/>
    <x v="3"/>
    <x v="0"/>
    <d v="2025-08-21T00:00:00"/>
    <x v="4"/>
    <s v=" Clear, colorless, practically free of particles"/>
    <n v="3.734"/>
    <n v="6.88"/>
    <n v="76711"/>
    <n v="2.06"/>
    <n v="96.11"/>
    <n v="1.83"/>
    <n v="1874815"/>
  </r>
  <r>
    <s v="FD-003-065"/>
    <s v="Phosphate"/>
    <n v="7"/>
    <s v="20 mg/mL Arg HCl, 50 mg/mL sucrose"/>
    <x v="4"/>
    <x v="0"/>
    <d v="2025-08-21T00:00:00"/>
    <x v="4"/>
    <s v=" Clear, colorless, practically free of particles"/>
    <n v="3.5590000000000002"/>
    <n v="6.9"/>
    <n v="76716"/>
    <n v="2.16"/>
    <n v="97.28"/>
    <n v="0.56000000000000005"/>
    <n v="1796664"/>
  </r>
  <r>
    <s v="FD-003-066"/>
    <s v="Phosphate"/>
    <n v="7"/>
    <s v="4 mg/mL NaCl, 50 mg/mL sucrose"/>
    <x v="5"/>
    <x v="0"/>
    <d v="2025-08-21T00:00:00"/>
    <x v="4"/>
    <s v=" Clear, colorless, practically free of particles"/>
    <n v="3.589"/>
    <n v="6.92"/>
    <n v="76721"/>
    <n v="2.2599999999999998"/>
    <n v="96.96"/>
    <n v="0.77"/>
    <n v="1815094"/>
  </r>
  <r>
    <s v="FD-003-067"/>
    <s v="Phosphate"/>
    <n v="7.5"/>
    <s v="None"/>
    <x v="6"/>
    <x v="0"/>
    <d v="2025-08-21T00:00:00"/>
    <x v="4"/>
    <s v=" Clear, colorless, practically free of particles"/>
    <n v="3.7589999999999999"/>
    <n v="7.31"/>
    <n v="76736"/>
    <n v="2.5"/>
    <n v="96.79"/>
    <n v="0.71"/>
    <n v="1921694"/>
  </r>
  <r>
    <s v="FD-003-068"/>
    <s v="Phosphate"/>
    <n v="7.5"/>
    <s v="20 mg/mL Arg HCl, 50 mg/mL sucrose"/>
    <x v="7"/>
    <x v="0"/>
    <d v="2025-08-21T00:00:00"/>
    <x v="4"/>
    <s v=" Clear, colorless, practically free of particles"/>
    <n v="3.4319999999999999"/>
    <n v="7.4"/>
    <n v="76741"/>
    <n v="2.31"/>
    <n v="96.87"/>
    <n v="0.82"/>
    <n v="1750831"/>
  </r>
  <r>
    <s v="FD-003-069"/>
    <s v="Phosphate"/>
    <n v="7.5"/>
    <s v="4 mg/mL NaCl, 50 mg/mL sucrose"/>
    <x v="8"/>
    <x v="0"/>
    <d v="2025-08-21T00:00:00"/>
    <x v="4"/>
    <s v=" Clear, colorless, practically free of particles"/>
    <n v="3.6150000000000002"/>
    <n v="7.32"/>
    <n v="76746"/>
    <n v="2.27"/>
    <n v="96.81"/>
    <n v="0.91"/>
    <n v="1850511"/>
  </r>
  <r>
    <s v="FD-003-070"/>
    <s v="Citrate"/>
    <n v="6.2"/>
    <s v="None"/>
    <x v="9"/>
    <x v="0"/>
    <d v="2025-08-21T00:00:00"/>
    <x v="4"/>
    <s v=" Clear, colorless, practically free of particles"/>
    <n v="3.7650000000000001"/>
    <n v="6.11"/>
    <n v="76751"/>
    <n v="2.13"/>
    <n v="97.43"/>
    <n v="0.43"/>
    <n v="1902649"/>
  </r>
  <r>
    <s v="FD-003-071"/>
    <s v="Citrate"/>
    <n v="6.2"/>
    <s v="20 mg/mL Arg HCl, 50 mg/mL sucrose"/>
    <x v="10"/>
    <x v="0"/>
    <d v="2025-08-21T00:00:00"/>
    <x v="4"/>
    <s v=" Clear, colorless, practically free of particles"/>
    <n v="3.3860000000000001"/>
    <n v="6.19"/>
    <n v="76756"/>
    <n v="2.02"/>
    <n v="97.5"/>
    <n v="0.48"/>
    <n v="1722175"/>
  </r>
  <r>
    <s v="FD-003-072"/>
    <s v="Citrate"/>
    <n v="6.2"/>
    <s v="4 mg/mL NaCl, 50 mg/mL sucrose"/>
    <x v="11"/>
    <x v="0"/>
    <d v="2025-08-21T00:00:00"/>
    <x v="4"/>
    <s v=" Clear, colorless, practically free of particles"/>
    <n v="3.2749999999999999"/>
    <n v="6.17"/>
    <n v="76761"/>
    <n v="2.1"/>
    <n v="97.4"/>
    <n v="0.5"/>
    <n v="1676988"/>
  </r>
  <r>
    <s v="FD-003-073"/>
    <s v="Citrate"/>
    <n v="6.8"/>
    <s v="None"/>
    <x v="12"/>
    <x v="0"/>
    <d v="2025-08-21T00:00:00"/>
    <x v="4"/>
    <s v=" Clear, colorless, practically free of particles"/>
    <n v="3.5630000000000002"/>
    <n v="6.71"/>
    <n v="76766"/>
    <n v="2.25"/>
    <n v="97.22"/>
    <n v="0.52"/>
    <n v="1839340"/>
  </r>
  <r>
    <s v="FD-003-074"/>
    <s v="Citrate"/>
    <n v="6.8"/>
    <s v="20 mg/mL Arg HCl, 50 mg/mL sucrose"/>
    <x v="13"/>
    <x v="0"/>
    <d v="2025-08-21T00:00:00"/>
    <x v="4"/>
    <s v=" Clear, colorless, practically free of particles"/>
    <n v="3.2250000000000001"/>
    <n v="6.79"/>
    <n v="76771"/>
    <n v="2.09"/>
    <n v="97.38"/>
    <n v="0.53"/>
    <n v="1670266"/>
  </r>
  <r>
    <s v="FD-003-075"/>
    <s v="Citrate"/>
    <n v="6.8"/>
    <s v="4 mg/mL NaCl, 50 mg/mL sucrose"/>
    <x v="14"/>
    <x v="0"/>
    <d v="2025-08-21T00:00:00"/>
    <x v="4"/>
    <s v=" Clear, colorless, practically free of particles"/>
    <n v="3.331"/>
    <n v="6.79"/>
    <n v="76776"/>
    <n v="2.17"/>
    <n v="97.33"/>
    <n v="0.5"/>
    <n v="1748668"/>
  </r>
  <r>
    <s v="FD-003-076"/>
    <s v="Phosphate"/>
    <n v="6.5"/>
    <s v="None"/>
    <x v="0"/>
    <x v="0"/>
    <m/>
    <x v="5"/>
    <m/>
    <m/>
    <m/>
    <m/>
    <m/>
    <m/>
    <m/>
    <m/>
  </r>
  <r>
    <s v="FD-003-077"/>
    <s v="Phosphate"/>
    <n v="6.5"/>
    <s v="20 mg/mL Arg HCl, 50 mg/mL sucrose"/>
    <x v="1"/>
    <x v="0"/>
    <m/>
    <x v="5"/>
    <m/>
    <m/>
    <m/>
    <m/>
    <m/>
    <m/>
    <m/>
    <m/>
  </r>
  <r>
    <s v="FD-003-078"/>
    <s v="Phosphate"/>
    <n v="6.5"/>
    <s v="4 mg/mL NaCl, 50 mg/mL sucrose"/>
    <x v="2"/>
    <x v="0"/>
    <m/>
    <x v="5"/>
    <m/>
    <m/>
    <m/>
    <m/>
    <m/>
    <m/>
    <m/>
    <m/>
  </r>
  <r>
    <s v="FD-003-079"/>
    <s v="Phosphate"/>
    <n v="7"/>
    <s v="None"/>
    <x v="3"/>
    <x v="0"/>
    <m/>
    <x v="5"/>
    <m/>
    <m/>
    <m/>
    <m/>
    <m/>
    <m/>
    <m/>
    <m/>
  </r>
  <r>
    <s v="FD-003-080"/>
    <s v="Phosphate"/>
    <n v="7"/>
    <s v="20 mg/mL Arg HCl, 50 mg/mL sucrose"/>
    <x v="4"/>
    <x v="0"/>
    <m/>
    <x v="5"/>
    <m/>
    <m/>
    <m/>
    <m/>
    <m/>
    <m/>
    <m/>
    <m/>
  </r>
  <r>
    <s v="FD-003-081"/>
    <s v="Phosphate"/>
    <n v="7"/>
    <s v="4 mg/mL NaCl, 50 mg/mL sucrose"/>
    <x v="5"/>
    <x v="0"/>
    <m/>
    <x v="5"/>
    <m/>
    <m/>
    <m/>
    <m/>
    <m/>
    <m/>
    <m/>
    <m/>
  </r>
  <r>
    <s v="FD-003-082"/>
    <s v="Phosphate"/>
    <n v="7.5"/>
    <s v="None"/>
    <x v="6"/>
    <x v="0"/>
    <m/>
    <x v="5"/>
    <m/>
    <m/>
    <m/>
    <m/>
    <m/>
    <m/>
    <m/>
    <m/>
  </r>
  <r>
    <s v="FD-003-083"/>
    <s v="Phosphate"/>
    <n v="7.5"/>
    <s v="20 mg/mL Arg HCl, 50 mg/mL sucrose"/>
    <x v="7"/>
    <x v="0"/>
    <m/>
    <x v="5"/>
    <m/>
    <m/>
    <m/>
    <m/>
    <m/>
    <m/>
    <m/>
    <m/>
  </r>
  <r>
    <s v="FD-003-084"/>
    <s v="Phosphate"/>
    <n v="7.5"/>
    <s v="4 mg/mL NaCl, 50 mg/mL sucrose"/>
    <x v="8"/>
    <x v="0"/>
    <m/>
    <x v="5"/>
    <m/>
    <m/>
    <m/>
    <m/>
    <m/>
    <m/>
    <m/>
    <m/>
  </r>
  <r>
    <s v="FD-003-085"/>
    <s v="Citrate"/>
    <n v="6.2"/>
    <s v="None"/>
    <x v="9"/>
    <x v="0"/>
    <m/>
    <x v="5"/>
    <m/>
    <m/>
    <m/>
    <m/>
    <m/>
    <m/>
    <m/>
    <m/>
  </r>
  <r>
    <s v="FD-003-086"/>
    <s v="Citrate"/>
    <n v="6.2"/>
    <s v="20 mg/mL Arg HCl, 50 mg/mL sucrose"/>
    <x v="10"/>
    <x v="0"/>
    <m/>
    <x v="5"/>
    <m/>
    <m/>
    <m/>
    <m/>
    <m/>
    <m/>
    <m/>
    <m/>
  </r>
  <r>
    <s v="FD-003-087"/>
    <s v="Citrate"/>
    <n v="6.2"/>
    <s v="4 mg/mL NaCl, 50 mg/mL sucrose"/>
    <x v="11"/>
    <x v="0"/>
    <m/>
    <x v="5"/>
    <m/>
    <m/>
    <m/>
    <m/>
    <m/>
    <m/>
    <m/>
    <m/>
  </r>
  <r>
    <s v="FD-003-088"/>
    <s v="Citrate"/>
    <n v="6.8"/>
    <s v="None"/>
    <x v="12"/>
    <x v="0"/>
    <m/>
    <x v="5"/>
    <m/>
    <m/>
    <m/>
    <m/>
    <m/>
    <m/>
    <m/>
    <m/>
  </r>
  <r>
    <s v="FD-003-089"/>
    <s v="Citrate"/>
    <n v="6.8"/>
    <s v="20 mg/mL Arg HCl, 50 mg/mL sucrose"/>
    <x v="13"/>
    <x v="0"/>
    <m/>
    <x v="5"/>
    <m/>
    <m/>
    <m/>
    <m/>
    <m/>
    <m/>
    <m/>
    <m/>
  </r>
  <r>
    <s v="FD-003-090"/>
    <s v="Citrate"/>
    <n v="6.8"/>
    <s v="4 mg/mL NaCl, 50 mg/mL sucrose"/>
    <x v="14"/>
    <x v="0"/>
    <m/>
    <x v="5"/>
    <m/>
    <m/>
    <m/>
    <m/>
    <m/>
    <m/>
    <m/>
    <m/>
  </r>
  <r>
    <s v="FD-003-091"/>
    <s v="Phosphate"/>
    <n v="6.5"/>
    <s v="None"/>
    <x v="0"/>
    <x v="2"/>
    <d v="2025-08-14T00:00:00"/>
    <x v="6"/>
    <s v=" Clear, colorless, practically free of particles"/>
    <n v="3.6989999999999998"/>
    <n v="6.41"/>
    <n v="75999"/>
    <n v="2.04"/>
    <n v="97.35"/>
    <n v="0.61"/>
    <n v="2025925"/>
  </r>
  <r>
    <s v="FD-003-092"/>
    <s v="Phosphate"/>
    <n v="6.5"/>
    <s v="20 mg/mL Arg HCl, 50 mg/mL sucrose"/>
    <x v="1"/>
    <x v="2"/>
    <d v="2025-08-14T00:00:00"/>
    <x v="6"/>
    <s v=" Clear, colorless, practically free of particles"/>
    <n v="3.5310000000000001"/>
    <n v="6.39"/>
    <n v="76014"/>
    <n v="1.96"/>
    <n v="97.52"/>
    <n v="0.52"/>
    <n v="1879789"/>
  </r>
  <r>
    <s v="FD-003-093"/>
    <s v="Phosphate"/>
    <n v="6.5"/>
    <s v="4 mg/mL NaCl, 50 mg/mL sucrose"/>
    <x v="2"/>
    <x v="2"/>
    <d v="2025-08-14T00:00:00"/>
    <x v="6"/>
    <s v=" Clear, colorless, practically free of particles"/>
    <n v="3.5510000000000002"/>
    <n v="6.48"/>
    <n v="76189"/>
    <n v="2.1"/>
    <n v="97.47"/>
    <n v="0.43"/>
    <n v="1800508"/>
  </r>
  <r>
    <s v="FD-003-094"/>
    <s v="Phosphate"/>
    <n v="7"/>
    <s v="None"/>
    <x v="3"/>
    <x v="2"/>
    <d v="2025-08-14T00:00:00"/>
    <x v="6"/>
    <s v=" Clear, colorless, practically free of particles"/>
    <n v="3.5310000000000001"/>
    <n v="6.89"/>
    <n v="76024"/>
    <n v="2.1"/>
    <n v="97.36"/>
    <n v="0.54"/>
    <n v="1887336"/>
  </r>
  <r>
    <s v="FD-003-095"/>
    <s v="Phosphate"/>
    <n v="7"/>
    <s v="20 mg/mL Arg HCl, 50 mg/mL sucrose"/>
    <x v="4"/>
    <x v="2"/>
    <d v="2025-08-14T00:00:00"/>
    <x v="6"/>
    <s v=" Clear, colorless, practically free of particles"/>
    <n v="3.512"/>
    <n v="6.89"/>
    <n v="76029"/>
    <n v="1.95"/>
    <n v="97.61"/>
    <n v="0.44"/>
    <n v="1900139"/>
  </r>
  <r>
    <s v="FD-003-096"/>
    <s v="Phosphate"/>
    <n v="7"/>
    <s v="4 mg/mL NaCl, 50 mg/mL sucrose"/>
    <x v="5"/>
    <x v="2"/>
    <d v="2025-08-14T00:00:00"/>
    <x v="6"/>
    <s v=" Clear, colorless, practically free of particles"/>
    <n v="3.472"/>
    <n v="6.92"/>
    <n v="76034"/>
    <n v="1.73"/>
    <n v="97.49"/>
    <n v="0.79"/>
    <n v="1859715"/>
  </r>
  <r>
    <s v="FD-003-097"/>
    <s v="Phosphate"/>
    <n v="7.5"/>
    <s v="None"/>
    <x v="6"/>
    <x v="2"/>
    <d v="2025-08-14T00:00:00"/>
    <x v="6"/>
    <s v=" Clear, colorless, practically free of particles"/>
    <n v="3.6070000000000002"/>
    <n v="7.31"/>
    <n v="76039"/>
    <n v="2.2599999999999998"/>
    <n v="97.27"/>
    <n v="0.47"/>
    <n v="1996315"/>
  </r>
  <r>
    <s v="FD-003-098"/>
    <s v="Phosphate"/>
    <n v="7.5"/>
    <s v="20 mg/mL Arg HCl, 50 mg/mL sucrose"/>
    <x v="7"/>
    <x v="2"/>
    <d v="2025-08-14T00:00:00"/>
    <x v="6"/>
    <s v=" Clear, colorless, practically free of particles"/>
    <n v="3.3780000000000001"/>
    <n v="7.4"/>
    <n v="76044"/>
    <n v="2.02"/>
    <n v="97.35"/>
    <n v="0.63"/>
    <n v="1819063"/>
  </r>
  <r>
    <s v="FD-003-099"/>
    <s v="Phosphate"/>
    <n v="7.5"/>
    <s v="4 mg/mL NaCl, 50 mg/mL sucrose"/>
    <x v="8"/>
    <x v="2"/>
    <d v="2025-08-14T00:00:00"/>
    <x v="6"/>
    <s v=" Clear, colorless, practically free of particles"/>
    <n v="3.52"/>
    <n v="7.31"/>
    <n v="76049"/>
    <n v="1.99"/>
    <n v="97.41"/>
    <n v="0.6"/>
    <n v="1889060"/>
  </r>
  <r>
    <s v="FD-003-100"/>
    <s v="Citrate"/>
    <n v="6.2"/>
    <s v="None"/>
    <x v="9"/>
    <x v="2"/>
    <d v="2025-08-14T00:00:00"/>
    <x v="6"/>
    <s v=" Clear, colorless, practically free of particles"/>
    <n v="3.4039999999999999"/>
    <n v="6.12"/>
    <n v="76064"/>
    <n v="1.96"/>
    <n v="97.46"/>
    <n v="0.56999999999999995"/>
    <n v="1916607"/>
  </r>
  <r>
    <s v="FD-003-101"/>
    <s v="Citrate"/>
    <n v="6.2"/>
    <s v="20 mg/mL Arg HCl, 50 mg/mL sucrose"/>
    <x v="10"/>
    <x v="2"/>
    <d v="2025-08-14T00:00:00"/>
    <x v="6"/>
    <s v=" Clear, colorless, practically free of particles"/>
    <n v="3.2919999999999998"/>
    <n v="6.18"/>
    <n v="76069"/>
    <n v="1.98"/>
    <n v="97.42"/>
    <n v="0.6"/>
    <n v="1813296"/>
  </r>
  <r>
    <s v="FD-003-102"/>
    <s v="Citrate"/>
    <n v="6.2"/>
    <s v="4 mg/mL NaCl, 50 mg/mL sucrose"/>
    <x v="11"/>
    <x v="2"/>
    <d v="2025-08-14T00:00:00"/>
    <x v="6"/>
    <s v=" Clear, colorless, practically free of particles"/>
    <n v="3.1829999999999998"/>
    <n v="6.17"/>
    <n v="76074"/>
    <n v="2.68"/>
    <n v="96.44"/>
    <n v="0.88"/>
    <n v="1089539"/>
  </r>
  <r>
    <s v="FD-003-103"/>
    <s v="Citrate"/>
    <n v="6.8"/>
    <s v="None"/>
    <x v="12"/>
    <x v="2"/>
    <d v="2025-08-14T00:00:00"/>
    <x v="6"/>
    <s v=" Clear, colorless, practically free of particles"/>
    <n v="3.4889999999999999"/>
    <n v="6.7"/>
    <n v="76079"/>
    <n v="2.0099999999999998"/>
    <n v="97.46"/>
    <n v="0.53"/>
    <n v="1898380"/>
  </r>
  <r>
    <s v="FD-003-104"/>
    <s v="Citrate"/>
    <n v="6.8"/>
    <s v="20 mg/mL Arg HCl, 50 mg/mL sucrose"/>
    <x v="13"/>
    <x v="2"/>
    <d v="2025-08-14T00:00:00"/>
    <x v="6"/>
    <s v=" Clear, colorless, practically free of particles"/>
    <n v="3.1030000000000002"/>
    <n v="6.78"/>
    <n v="76084"/>
    <n v="2"/>
    <n v="97.5"/>
    <n v="0.5"/>
    <n v="1689024"/>
  </r>
  <r>
    <s v="FD-003-105"/>
    <s v="Citrate"/>
    <n v="6.8"/>
    <s v="4 mg/mL NaCl, 50 mg/mL sucrose"/>
    <x v="14"/>
    <x v="2"/>
    <d v="2025-08-14T00:00:00"/>
    <x v="6"/>
    <s v=" Clear, colorless, practically free of particles"/>
    <n v="3.2749999999999999"/>
    <n v="6.78"/>
    <n v="76089"/>
    <n v="1.97"/>
    <n v="97.45"/>
    <n v="0.57999999999999996"/>
    <n v="1819996"/>
  </r>
  <r>
    <s v="FD-003-106"/>
    <s v="Phosphate"/>
    <n v="6.5"/>
    <s v="None"/>
    <x v="0"/>
    <x v="0"/>
    <m/>
    <x v="7"/>
    <m/>
    <m/>
    <m/>
    <m/>
    <m/>
    <m/>
    <m/>
    <m/>
  </r>
  <r>
    <s v="FD-003-107"/>
    <s v="Phosphate"/>
    <n v="6.5"/>
    <s v="20 mg/mL Arg HCl, 50 mg/mL sucrose"/>
    <x v="1"/>
    <x v="0"/>
    <m/>
    <x v="7"/>
    <m/>
    <m/>
    <m/>
    <m/>
    <m/>
    <m/>
    <m/>
    <m/>
  </r>
  <r>
    <s v="FD-003-108"/>
    <s v="Phosphate"/>
    <n v="6.5"/>
    <s v="4 mg/mL NaCl, 50 mg/mL sucrose"/>
    <x v="2"/>
    <x v="0"/>
    <m/>
    <x v="7"/>
    <m/>
    <m/>
    <m/>
    <m/>
    <m/>
    <m/>
    <m/>
    <m/>
  </r>
  <r>
    <s v="FD-003-109"/>
    <s v="Phosphate"/>
    <n v="7"/>
    <s v="None"/>
    <x v="3"/>
    <x v="0"/>
    <m/>
    <x v="7"/>
    <m/>
    <m/>
    <m/>
    <m/>
    <m/>
    <m/>
    <m/>
    <m/>
  </r>
  <r>
    <s v="FD-003-110"/>
    <s v="Phosphate"/>
    <n v="7"/>
    <s v="20 mg/mL Arg HCl, 50 mg/mL sucrose"/>
    <x v="4"/>
    <x v="0"/>
    <m/>
    <x v="7"/>
    <m/>
    <m/>
    <m/>
    <m/>
    <m/>
    <m/>
    <m/>
    <m/>
  </r>
  <r>
    <s v="FD-003-111"/>
    <s v="Phosphate"/>
    <n v="7"/>
    <s v="4 mg/mL NaCl, 50 mg/mL sucrose"/>
    <x v="5"/>
    <x v="0"/>
    <m/>
    <x v="7"/>
    <m/>
    <m/>
    <m/>
    <m/>
    <m/>
    <m/>
    <m/>
    <m/>
  </r>
  <r>
    <s v="FD-003-112"/>
    <s v="Phosphate"/>
    <n v="7.5"/>
    <s v="None"/>
    <x v="6"/>
    <x v="0"/>
    <m/>
    <x v="7"/>
    <m/>
    <m/>
    <m/>
    <m/>
    <m/>
    <m/>
    <m/>
    <m/>
  </r>
  <r>
    <s v="FD-003-113"/>
    <s v="Phosphate"/>
    <n v="7.5"/>
    <s v="20 mg/mL Arg HCl, 50 mg/mL sucrose"/>
    <x v="7"/>
    <x v="0"/>
    <m/>
    <x v="7"/>
    <m/>
    <m/>
    <m/>
    <m/>
    <m/>
    <m/>
    <m/>
    <m/>
  </r>
  <r>
    <s v="FD-003-114"/>
    <s v="Phosphate"/>
    <n v="7.5"/>
    <s v="4 mg/mL NaCl, 50 mg/mL sucrose"/>
    <x v="8"/>
    <x v="0"/>
    <m/>
    <x v="7"/>
    <m/>
    <m/>
    <m/>
    <m/>
    <m/>
    <m/>
    <m/>
    <m/>
  </r>
  <r>
    <s v="FD-003-115"/>
    <s v="Citrate"/>
    <n v="6.2"/>
    <s v="None"/>
    <x v="9"/>
    <x v="0"/>
    <m/>
    <x v="7"/>
    <m/>
    <m/>
    <m/>
    <m/>
    <m/>
    <m/>
    <m/>
    <m/>
  </r>
  <r>
    <s v="FD-003-116"/>
    <s v="Citrate"/>
    <n v="6.2"/>
    <s v="20 mg/mL Arg HCl, 50 mg/mL sucrose"/>
    <x v="10"/>
    <x v="0"/>
    <m/>
    <x v="7"/>
    <m/>
    <m/>
    <m/>
    <m/>
    <m/>
    <m/>
    <m/>
    <m/>
  </r>
  <r>
    <s v="FD-003-117"/>
    <s v="Citrate"/>
    <n v="6.2"/>
    <s v="4 mg/mL NaCl, 50 mg/mL sucrose"/>
    <x v="11"/>
    <x v="0"/>
    <m/>
    <x v="7"/>
    <m/>
    <m/>
    <m/>
    <m/>
    <m/>
    <m/>
    <m/>
    <m/>
  </r>
  <r>
    <s v="FD-003-118"/>
    <s v="Citrate"/>
    <n v="6.8"/>
    <s v="None"/>
    <x v="12"/>
    <x v="0"/>
    <m/>
    <x v="7"/>
    <m/>
    <m/>
    <m/>
    <m/>
    <m/>
    <m/>
    <m/>
    <m/>
  </r>
  <r>
    <s v="FD-003-119"/>
    <s v="Citrate"/>
    <n v="6.8"/>
    <s v="20 mg/mL Arg HCl, 50 mg/mL sucrose"/>
    <x v="13"/>
    <x v="0"/>
    <m/>
    <x v="7"/>
    <m/>
    <m/>
    <m/>
    <m/>
    <m/>
    <m/>
    <m/>
    <m/>
  </r>
  <r>
    <s v="FD-003-120"/>
    <s v="Citrate"/>
    <n v="6.8"/>
    <s v="4 mg/mL NaCl, 50 mg/mL sucrose"/>
    <x v="14"/>
    <x v="0"/>
    <m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3B076-2817-44D1-B0DF-C299467E53CE}" name="PivotTable1" cacheId="549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19" firstHeaderRow="1" firstDataRow="2" firstDataCol="1" rowPageCount="1" colPageCount="1"/>
  <pivotFields count="19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10">
        <item x="0"/>
        <item x="2"/>
        <item x="3"/>
        <item x="4"/>
        <item m="1" x="8"/>
        <item x="7"/>
        <item x="6"/>
        <item x="1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3">
    <i>
      <x/>
    </i>
    <i>
      <x v="1"/>
    </i>
    <i>
      <x v="2"/>
    </i>
  </colItems>
  <pageFields count="1">
    <pageField fld="5" item="1" hier="-1"/>
  </pageFields>
  <dataFields count="1">
    <dataField name="Sum of HMW" fld="12" baseField="0" baseItem="0"/>
  </dataFields>
  <formats count="8">
    <format dxfId="40">
      <pivotArea type="all" dataOnly="0" outline="0" fieldPosition="0"/>
    </format>
    <format dxfId="41">
      <pivotArea outline="0" collapsedLevelsAreSubtotals="1" fieldPosition="0"/>
    </format>
    <format dxfId="42">
      <pivotArea type="origin" dataOnly="0" labelOnly="1" outline="0" fieldPosition="0"/>
    </format>
    <format dxfId="43">
      <pivotArea field="7" type="button" dataOnly="0" labelOnly="1" outline="0" axis="axisCol" fieldPosition="0"/>
    </format>
    <format dxfId="44">
      <pivotArea type="topRight" dataOnly="0" labelOnly="1" outline="0" fieldPosition="0"/>
    </format>
    <format dxfId="45">
      <pivotArea field="4" type="button" dataOnly="0" labelOnly="1" outline="0" axis="axisRow" fieldPosition="0"/>
    </format>
    <format dxfId="46">
      <pivotArea dataOnly="0" labelOnly="1" fieldPosition="0">
        <references count="1">
          <reference field="4" count="0"/>
        </references>
      </pivotArea>
    </format>
    <format dxfId="47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4BE4E-D415-4AFE-898E-BFC254E1FA65}" name="PivotTable1" cacheId="549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19" firstHeaderRow="1" firstDataRow="2" firstDataCol="1" rowPageCount="1" colPageCount="1"/>
  <pivotFields count="19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10">
        <item x="0"/>
        <item x="2"/>
        <item x="3"/>
        <item x="4"/>
        <item m="1" x="8"/>
        <item x="7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3">
    <i>
      <x/>
    </i>
    <i>
      <x v="1"/>
    </i>
    <i>
      <x v="2"/>
    </i>
  </colItems>
  <pageFields count="1">
    <pageField fld="5" item="1" hier="-1"/>
  </pageFields>
  <dataFields count="1">
    <dataField name="Sum of Main" fld="13" baseField="0" baseItem="0"/>
  </dataFields>
  <formats count="8">
    <format dxfId="32">
      <pivotArea type="all" dataOnly="0" outline="0" fieldPosition="0"/>
    </format>
    <format dxfId="33">
      <pivotArea outline="0" collapsedLevelsAreSubtotals="1" fieldPosition="0"/>
    </format>
    <format dxfId="34">
      <pivotArea type="origin" dataOnly="0" labelOnly="1" outline="0" fieldPosition="0"/>
    </format>
    <format dxfId="35">
      <pivotArea field="7" type="button" dataOnly="0" labelOnly="1" outline="0" axis="axisCol" fieldPosition="0"/>
    </format>
    <format dxfId="36">
      <pivotArea type="topRight" dataOnly="0" labelOnly="1" outline="0" fieldPosition="0"/>
    </format>
    <format dxfId="37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9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F564E-EEE7-412C-B358-B23009101C4F}" name="PivotTable1" cacheId="549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19" firstHeaderRow="1" firstDataRow="2" firstDataCol="1" rowPageCount="1" colPageCount="1"/>
  <pivotFields count="19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10">
        <item x="0"/>
        <item x="2"/>
        <item x="3"/>
        <item x="4"/>
        <item m="1" x="8"/>
        <item x="7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3">
    <i>
      <x/>
    </i>
    <i>
      <x v="1"/>
    </i>
    <i>
      <x v="2"/>
    </i>
  </colItems>
  <pageFields count="1">
    <pageField fld="5" item="1" hier="-1"/>
  </pageFields>
  <dataFields count="1">
    <dataField name="Sum of LMW" fld="14" baseField="0" baseItem="0"/>
  </dataFields>
  <formats count="8">
    <format dxfId="24">
      <pivotArea type="all" dataOnly="0" outline="0" fieldPosition="0"/>
    </format>
    <format dxfId="25">
      <pivotArea outline="0" collapsedLevelsAreSubtotals="1" fieldPosition="0"/>
    </format>
    <format dxfId="26">
      <pivotArea type="origin" dataOnly="0" labelOnly="1" outline="0" fieldPosition="0"/>
    </format>
    <format dxfId="27">
      <pivotArea field="7" type="button" dataOnly="0" labelOnly="1" outline="0" axis="axisCol" fieldPosition="0"/>
    </format>
    <format dxfId="28">
      <pivotArea type="topRight" dataOnly="0" labelOnly="1" outline="0" fieldPosition="0"/>
    </format>
    <format dxfId="29">
      <pivotArea field="4" type="button" dataOnly="0" labelOnly="1" outline="0" axis="axisRow" fieldPosition="0"/>
    </format>
    <format dxfId="30">
      <pivotArea dataOnly="0" labelOnly="1" fieldPosition="0">
        <references count="1">
          <reference field="4" count="0"/>
        </references>
      </pivotArea>
    </format>
    <format dxfId="31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1760A-2B14-44E2-BA97-7702085E2DB0}" name="PivotTable4" cacheId="549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F19" firstHeaderRow="1" firstDataRow="2" firstDataCol="1" rowPageCount="1" colPageCount="1"/>
  <pivotFields count="16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9">
        <item x="0"/>
        <item x="2"/>
        <item x="3"/>
        <item x="4"/>
        <item x="7"/>
        <item x="1"/>
        <item x="6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5">
    <i>
      <x/>
    </i>
    <i>
      <x v="2"/>
    </i>
    <i>
      <x v="3"/>
    </i>
    <i>
      <x v="4"/>
    </i>
    <i>
      <x v="7"/>
    </i>
  </colItems>
  <pageFields count="1">
    <pageField fld="5" item="0" hier="-1"/>
  </pageFields>
  <dataFields count="1">
    <dataField name="Sum of HMW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4DF3C-E0C1-4F9E-8560-16529DF7D26F}" name="PivotTable5" cacheId="549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F19" firstHeaderRow="1" firstDataRow="2" firstDataCol="1" rowPageCount="1" colPageCount="1"/>
  <pivotFields count="16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9">
        <item x="0"/>
        <item x="2"/>
        <item x="3"/>
        <item x="4"/>
        <item x="7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5">
    <i>
      <x/>
    </i>
    <i>
      <x v="2"/>
    </i>
    <i>
      <x v="3"/>
    </i>
    <i>
      <x v="4"/>
    </i>
    <i>
      <x v="7"/>
    </i>
  </colItems>
  <pageFields count="1">
    <pageField fld="5" item="0" hier="-1"/>
  </pageFields>
  <dataFields count="1">
    <dataField name="Sum of Mai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6188F-1C9A-458C-B19D-BA437FF6C74D}" name="PivotTable6" cacheId="549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F19" firstHeaderRow="1" firstDataRow="2" firstDataCol="1" rowPageCount="1" colPageCount="1"/>
  <pivotFields count="16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9">
        <item x="0"/>
        <item x="2"/>
        <item x="3"/>
        <item x="4"/>
        <item x="7"/>
        <item x="1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5">
    <i>
      <x/>
    </i>
    <i>
      <x v="2"/>
    </i>
    <i>
      <x v="3"/>
    </i>
    <i>
      <x v="4"/>
    </i>
    <i>
      <x v="7"/>
    </i>
  </colItems>
  <pageFields count="1">
    <pageField fld="5" item="0" hier="-1"/>
  </pageFields>
  <dataFields count="1">
    <dataField name="Sum of LMW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6260E-C295-47DE-89E5-1D984B8D535F}" name="PivotTable1" cacheId="549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19" firstHeaderRow="1" firstDataRow="2" firstDataCol="1" rowPageCount="1" colPageCount="1"/>
  <pivotFields count="19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10">
        <item x="0"/>
        <item x="2"/>
        <item x="3"/>
        <item x="4"/>
        <item m="1" x="8"/>
        <item x="7"/>
        <item x="6"/>
        <item x="1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2">
    <i>
      <x v="6"/>
    </i>
    <i>
      <x v="7"/>
    </i>
  </colItems>
  <pageFields count="1">
    <pageField fld="5" item="2" hier="-1"/>
  </pageFields>
  <dataFields count="1">
    <dataField name="Sum of HMW" fld="12" baseField="0" baseItem="0"/>
  </dataFields>
  <formats count="8">
    <format dxfId="16">
      <pivotArea type="all" dataOnly="0" outline="0" fieldPosition="0"/>
    </format>
    <format dxfId="17">
      <pivotArea outline="0" collapsedLevelsAreSubtotals="1" fieldPosition="0"/>
    </format>
    <format dxfId="18">
      <pivotArea type="origin" dataOnly="0" labelOnly="1" outline="0" fieldPosition="0"/>
    </format>
    <format dxfId="19">
      <pivotArea field="7" type="button" dataOnly="0" labelOnly="1" outline="0" axis="axisCol" fieldPosition="0"/>
    </format>
    <format dxfId="20">
      <pivotArea type="topRight" dataOnly="0" labelOnly="1" outline="0" fieldPosition="0"/>
    </format>
    <format dxfId="21">
      <pivotArea field="4" type="button" dataOnly="0" labelOnly="1" outline="0" axis="axisRow" fieldPosition="0"/>
    </format>
    <format dxfId="22">
      <pivotArea dataOnly="0" labelOnly="1" fieldPosition="0">
        <references count="1">
          <reference field="4" count="0"/>
        </references>
      </pivotArea>
    </format>
    <format dxfId="23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85196-3790-4EB4-9299-5FBFC1B543A4}" name="PivotTable1" cacheId="549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19" firstHeaderRow="1" firstDataRow="2" firstDataCol="1" rowPageCount="1" colPageCount="1"/>
  <pivotFields count="19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10">
        <item x="0"/>
        <item x="2"/>
        <item x="3"/>
        <item x="4"/>
        <item m="1" x="8"/>
        <item x="7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2">
    <i>
      <x v="6"/>
    </i>
    <i>
      <x v="7"/>
    </i>
  </colItems>
  <pageFields count="1">
    <pageField fld="5" item="2" hier="-1"/>
  </pageFields>
  <dataFields count="1">
    <dataField name="Sum of Main" fld="13" baseField="0" baseItem="0"/>
  </dataFields>
  <formats count="8">
    <format dxfId="8">
      <pivotArea type="all" dataOnly="0" outline="0" fieldPosition="0"/>
    </format>
    <format dxfId="9">
      <pivotArea outline="0" collapsedLevelsAreSubtotals="1" fieldPosition="0"/>
    </format>
    <format dxfId="10">
      <pivotArea type="origin" dataOnly="0" labelOnly="1" outline="0" fieldPosition="0"/>
    </format>
    <format dxfId="11">
      <pivotArea field="7" type="button" dataOnly="0" labelOnly="1" outline="0" axis="axisCol" fieldPosition="0"/>
    </format>
    <format dxfId="12">
      <pivotArea type="topRight" dataOnly="0" labelOnly="1" outline="0" fieldPosition="0"/>
    </format>
    <format dxfId="13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5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2F6F6-0848-47A7-AAE7-8D215F2F4E4B}" name="PivotTable1" cacheId="549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19" firstHeaderRow="1" firstDataRow="2" firstDataCol="1" rowPageCount="1" colPageCount="1"/>
  <pivotFields count="19"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Col" showAll="0">
      <items count="10">
        <item x="0"/>
        <item x="2"/>
        <item x="3"/>
        <item x="4"/>
        <item m="1" x="8"/>
        <item x="7"/>
        <item x="6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7"/>
  </colFields>
  <colItems count="2">
    <i>
      <x v="6"/>
    </i>
    <i>
      <x v="7"/>
    </i>
  </colItems>
  <pageFields count="1">
    <pageField fld="5" item="2" hier="-1"/>
  </pageFields>
  <dataFields count="1">
    <dataField name="Sum of LMW" fld="14" baseField="0" baseItem="0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7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4" type="button" dataOnly="0" labelOnly="1" outline="0" axis="axisRow" fieldPosition="0"/>
    </format>
    <format dxfId="6">
      <pivotArea dataOnly="0" labelOnly="1" fieldPosition="0">
        <references count="1">
          <reference field="4" count="0"/>
        </references>
      </pivotArea>
    </format>
    <format dxfId="7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26044-B79A-498A-8A8A-4B331C5B69DA}">
  <dimension ref="A1:S152"/>
  <sheetViews>
    <sheetView zoomScale="90" zoomScaleNormal="90" workbookViewId="0">
      <selection activeCell="F8" sqref="F8"/>
    </sheetView>
  </sheetViews>
  <sheetFormatPr defaultRowHeight="15"/>
  <cols>
    <col min="1" max="3" width="16.7109375" style="2" customWidth="1"/>
    <col min="4" max="4" width="31.140625" style="2" bestFit="1" customWidth="1"/>
    <col min="5" max="5" width="11.5703125" style="2" customWidth="1"/>
    <col min="6" max="7" width="10.5703125" style="2" customWidth="1"/>
    <col min="8" max="8" width="9.85546875" style="2" customWidth="1"/>
    <col min="9" max="9" width="46.5703125" style="2" bestFit="1" customWidth="1"/>
    <col min="10" max="10" width="12.85546875" style="2" bestFit="1" customWidth="1"/>
    <col min="11" max="16" width="8.7109375" style="2"/>
    <col min="17" max="17" width="11.140625" style="2" customWidth="1"/>
    <col min="18" max="18" width="8.7109375" style="2"/>
    <col min="19" max="19" width="9.42578125" style="2" customWidth="1"/>
  </cols>
  <sheetData>
    <row r="1" spans="1:19" s="1" customForma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 t="s">
        <v>18</v>
      </c>
      <c r="B2" s="2" t="s">
        <v>19</v>
      </c>
      <c r="C2" s="2">
        <v>6.5</v>
      </c>
      <c r="D2" s="2" t="s">
        <v>20</v>
      </c>
      <c r="E2" s="2">
        <v>1</v>
      </c>
      <c r="F2" s="2" t="s">
        <v>21</v>
      </c>
      <c r="G2" s="3">
        <v>45876</v>
      </c>
      <c r="H2" s="2">
        <v>0</v>
      </c>
      <c r="I2" s="2" t="s">
        <v>22</v>
      </c>
      <c r="J2" s="4">
        <v>3.843</v>
      </c>
      <c r="K2" s="6">
        <v>6.37</v>
      </c>
      <c r="L2">
        <v>75231</v>
      </c>
      <c r="M2">
        <v>1.94</v>
      </c>
      <c r="N2">
        <v>97.75</v>
      </c>
      <c r="O2">
        <v>0.31</v>
      </c>
      <c r="P2">
        <v>1918688</v>
      </c>
      <c r="Q2" s="2">
        <v>82</v>
      </c>
      <c r="R2" s="5">
        <v>69.310966491699219</v>
      </c>
      <c r="S2" s="5">
        <v>68.038360595703125</v>
      </c>
    </row>
    <row r="3" spans="1:19">
      <c r="A3" s="2" t="s">
        <v>23</v>
      </c>
      <c r="B3" s="2" t="s">
        <v>19</v>
      </c>
      <c r="C3" s="2">
        <v>6.5</v>
      </c>
      <c r="D3" s="2" t="s">
        <v>24</v>
      </c>
      <c r="E3" s="2">
        <v>2</v>
      </c>
      <c r="F3" s="2" t="s">
        <v>21</v>
      </c>
      <c r="G3" s="3">
        <v>45876</v>
      </c>
      <c r="H3" s="2">
        <v>0</v>
      </c>
      <c r="I3" s="2" t="s">
        <v>22</v>
      </c>
      <c r="J3" s="4">
        <v>3.6240000000000001</v>
      </c>
      <c r="K3" s="6">
        <v>6.36</v>
      </c>
      <c r="L3">
        <v>75236</v>
      </c>
      <c r="M3">
        <v>1.94</v>
      </c>
      <c r="N3">
        <v>97.71</v>
      </c>
      <c r="O3">
        <v>0.35</v>
      </c>
      <c r="P3">
        <v>1802190</v>
      </c>
      <c r="Q3" s="2">
        <v>393</v>
      </c>
      <c r="R3" s="5">
        <v>68.763893127441406</v>
      </c>
      <c r="S3" s="5">
        <v>69.236007690429688</v>
      </c>
    </row>
    <row r="4" spans="1:19">
      <c r="A4" s="2" t="s">
        <v>25</v>
      </c>
      <c r="B4" s="2" t="s">
        <v>19</v>
      </c>
      <c r="C4" s="2">
        <v>6.5</v>
      </c>
      <c r="D4" s="2" t="s">
        <v>26</v>
      </c>
      <c r="E4" s="2">
        <v>3</v>
      </c>
      <c r="F4" s="2" t="s">
        <v>21</v>
      </c>
      <c r="G4" s="3">
        <v>45876</v>
      </c>
      <c r="H4" s="2">
        <v>0</v>
      </c>
      <c r="I4" s="2" t="s">
        <v>22</v>
      </c>
      <c r="J4" s="4">
        <v>3.6629999999999998</v>
      </c>
      <c r="K4" s="6">
        <v>6.46</v>
      </c>
      <c r="L4">
        <v>75241</v>
      </c>
      <c r="M4">
        <v>1.92</v>
      </c>
      <c r="N4">
        <v>97.72</v>
      </c>
      <c r="O4">
        <v>0.36</v>
      </c>
      <c r="P4">
        <v>1823294</v>
      </c>
      <c r="Q4" s="2">
        <v>375</v>
      </c>
      <c r="R4" s="5">
        <v>70.499885559082031</v>
      </c>
      <c r="S4" s="5">
        <v>69.626640319824219</v>
      </c>
    </row>
    <row r="5" spans="1:19">
      <c r="A5" s="2" t="s">
        <v>27</v>
      </c>
      <c r="B5" s="2" t="s">
        <v>19</v>
      </c>
      <c r="C5" s="2">
        <v>7</v>
      </c>
      <c r="D5" s="2" t="s">
        <v>20</v>
      </c>
      <c r="E5" s="2">
        <v>4</v>
      </c>
      <c r="F5" s="2" t="s">
        <v>21</v>
      </c>
      <c r="G5" s="3">
        <v>45876</v>
      </c>
      <c r="H5" s="2">
        <v>0</v>
      </c>
      <c r="I5" s="2" t="s">
        <v>22</v>
      </c>
      <c r="J5" s="4">
        <v>3.7309999999999999</v>
      </c>
      <c r="K5" s="6">
        <v>6.85</v>
      </c>
      <c r="L5">
        <v>75246</v>
      </c>
      <c r="M5">
        <v>1.88</v>
      </c>
      <c r="N5">
        <v>97.69</v>
      </c>
      <c r="O5">
        <v>0.43</v>
      </c>
      <c r="P5">
        <v>1879146</v>
      </c>
      <c r="Q5" s="2">
        <v>84</v>
      </c>
      <c r="R5" s="5">
        <v>70.421920776367188</v>
      </c>
      <c r="S5" s="5">
        <v>68.44171142578125</v>
      </c>
    </row>
    <row r="6" spans="1:19">
      <c r="A6" s="2" t="s">
        <v>28</v>
      </c>
      <c r="B6" s="2" t="s">
        <v>19</v>
      </c>
      <c r="C6" s="2">
        <v>7</v>
      </c>
      <c r="D6" s="2" t="s">
        <v>24</v>
      </c>
      <c r="E6" s="2">
        <v>5</v>
      </c>
      <c r="F6" s="2" t="s">
        <v>21</v>
      </c>
      <c r="G6" s="3">
        <v>45876</v>
      </c>
      <c r="H6" s="2">
        <v>0</v>
      </c>
      <c r="I6" s="2" t="s">
        <v>22</v>
      </c>
      <c r="J6" s="4">
        <v>3.5449999999999999</v>
      </c>
      <c r="K6" s="6">
        <v>6.88</v>
      </c>
      <c r="L6">
        <v>75251</v>
      </c>
      <c r="M6">
        <v>1.89</v>
      </c>
      <c r="N6">
        <v>97.64</v>
      </c>
      <c r="O6">
        <v>0.46</v>
      </c>
      <c r="P6">
        <v>1801495</v>
      </c>
      <c r="Q6" s="2">
        <v>408</v>
      </c>
      <c r="R6" s="5">
        <v>69.794387817382813</v>
      </c>
      <c r="S6" s="5">
        <v>69.510665893554688</v>
      </c>
    </row>
    <row r="7" spans="1:19">
      <c r="A7" s="2" t="s">
        <v>29</v>
      </c>
      <c r="B7" s="2" t="s">
        <v>19</v>
      </c>
      <c r="C7" s="2">
        <v>7</v>
      </c>
      <c r="D7" s="2" t="s">
        <v>26</v>
      </c>
      <c r="E7" s="2">
        <v>6</v>
      </c>
      <c r="F7" s="2" t="s">
        <v>21</v>
      </c>
      <c r="G7" s="3">
        <v>45876</v>
      </c>
      <c r="H7" s="2">
        <v>0</v>
      </c>
      <c r="I7" s="2" t="s">
        <v>22</v>
      </c>
      <c r="J7" s="4">
        <v>3.6040000000000001</v>
      </c>
      <c r="K7" s="6">
        <v>6.9</v>
      </c>
      <c r="L7">
        <v>75256</v>
      </c>
      <c r="M7">
        <v>1.88</v>
      </c>
      <c r="N7">
        <v>97.67</v>
      </c>
      <c r="O7">
        <v>0.45</v>
      </c>
      <c r="P7">
        <v>1818299</v>
      </c>
      <c r="Q7" s="2">
        <v>388</v>
      </c>
      <c r="R7" s="5">
        <v>70.875862121582031</v>
      </c>
      <c r="S7" s="5">
        <v>69.29205322265625</v>
      </c>
    </row>
    <row r="8" spans="1:19">
      <c r="A8" s="2" t="s">
        <v>30</v>
      </c>
      <c r="B8" s="2" t="s">
        <v>19</v>
      </c>
      <c r="C8" s="2">
        <v>7.5</v>
      </c>
      <c r="D8" s="2" t="s">
        <v>20</v>
      </c>
      <c r="E8" s="2">
        <v>7</v>
      </c>
      <c r="F8" s="2" t="s">
        <v>21</v>
      </c>
      <c r="G8" s="3">
        <v>45876</v>
      </c>
      <c r="H8" s="2">
        <v>0</v>
      </c>
      <c r="I8" s="2" t="s">
        <v>22</v>
      </c>
      <c r="J8" s="4">
        <v>3.7770000000000001</v>
      </c>
      <c r="K8" s="6">
        <v>7.28</v>
      </c>
      <c r="L8">
        <v>75261</v>
      </c>
      <c r="M8">
        <v>1.98</v>
      </c>
      <c r="N8">
        <v>97.61</v>
      </c>
      <c r="O8">
        <v>0.41</v>
      </c>
      <c r="P8">
        <v>1905061</v>
      </c>
      <c r="Q8" s="2">
        <v>89</v>
      </c>
      <c r="R8" s="5">
        <v>70.534477233886719</v>
      </c>
      <c r="S8" s="5">
        <v>68.267715454101563</v>
      </c>
    </row>
    <row r="9" spans="1:19">
      <c r="A9" s="2" t="s">
        <v>31</v>
      </c>
      <c r="B9" s="2" t="s">
        <v>19</v>
      </c>
      <c r="C9" s="2">
        <v>7.5</v>
      </c>
      <c r="D9" s="2" t="s">
        <v>24</v>
      </c>
      <c r="E9" s="2">
        <v>8</v>
      </c>
      <c r="F9" s="2" t="s">
        <v>21</v>
      </c>
      <c r="G9" s="3">
        <v>45876</v>
      </c>
      <c r="H9" s="2">
        <v>0</v>
      </c>
      <c r="I9" s="2" t="s">
        <v>22</v>
      </c>
      <c r="J9" s="4">
        <v>3.43</v>
      </c>
      <c r="K9" s="6">
        <v>7.39</v>
      </c>
      <c r="L9">
        <v>75266</v>
      </c>
      <c r="M9">
        <v>1.93</v>
      </c>
      <c r="N9">
        <v>97.63</v>
      </c>
      <c r="O9">
        <v>0.44</v>
      </c>
      <c r="P9">
        <v>1733951</v>
      </c>
      <c r="Q9" s="2">
        <v>398</v>
      </c>
      <c r="R9" s="5">
        <v>70.152694702148438</v>
      </c>
      <c r="S9" s="5">
        <v>69.232925415039063</v>
      </c>
    </row>
    <row r="10" spans="1:19">
      <c r="A10" s="2" t="s">
        <v>32</v>
      </c>
      <c r="B10" s="2" t="s">
        <v>19</v>
      </c>
      <c r="C10" s="2">
        <v>7.5</v>
      </c>
      <c r="D10" s="2" t="s">
        <v>26</v>
      </c>
      <c r="E10" s="2">
        <v>9</v>
      </c>
      <c r="F10" s="2" t="s">
        <v>21</v>
      </c>
      <c r="G10" s="3">
        <v>45876</v>
      </c>
      <c r="H10" s="2">
        <v>0</v>
      </c>
      <c r="I10" s="2" t="s">
        <v>22</v>
      </c>
      <c r="J10" s="4">
        <v>3.609</v>
      </c>
      <c r="K10" s="6">
        <v>7.31</v>
      </c>
      <c r="L10">
        <v>75281</v>
      </c>
      <c r="M10">
        <v>1.99</v>
      </c>
      <c r="N10">
        <v>97.59</v>
      </c>
      <c r="O10">
        <v>0.41</v>
      </c>
      <c r="P10">
        <v>1832519</v>
      </c>
      <c r="Q10" s="2">
        <v>382</v>
      </c>
      <c r="R10" s="5">
        <v>70.772941589355469</v>
      </c>
      <c r="S10" s="5">
        <v>68.269973754882813</v>
      </c>
    </row>
    <row r="11" spans="1:19">
      <c r="A11" s="2" t="s">
        <v>33</v>
      </c>
      <c r="B11" s="2" t="s">
        <v>34</v>
      </c>
      <c r="C11" s="2">
        <v>6.2</v>
      </c>
      <c r="D11" s="2" t="s">
        <v>20</v>
      </c>
      <c r="E11" s="2">
        <v>10</v>
      </c>
      <c r="F11" s="2" t="s">
        <v>21</v>
      </c>
      <c r="G11" s="3">
        <v>45876</v>
      </c>
      <c r="H11" s="2">
        <v>0</v>
      </c>
      <c r="I11" s="2" t="s">
        <v>22</v>
      </c>
      <c r="J11" s="4">
        <v>3.7589999999999999</v>
      </c>
      <c r="K11" s="6">
        <v>6.1</v>
      </c>
      <c r="L11">
        <v>75286</v>
      </c>
      <c r="M11">
        <v>1.92</v>
      </c>
      <c r="N11">
        <v>97.65</v>
      </c>
      <c r="O11">
        <v>0.43</v>
      </c>
      <c r="P11">
        <v>1922116</v>
      </c>
      <c r="Q11" s="2">
        <v>112</v>
      </c>
      <c r="R11" s="5">
        <v>68.238418579101563</v>
      </c>
      <c r="S11" s="5">
        <v>67.917045593261719</v>
      </c>
    </row>
    <row r="12" spans="1:19">
      <c r="A12" s="2" t="s">
        <v>35</v>
      </c>
      <c r="B12" s="2" t="s">
        <v>34</v>
      </c>
      <c r="C12" s="2">
        <v>6.2</v>
      </c>
      <c r="D12" s="2" t="s">
        <v>24</v>
      </c>
      <c r="E12" s="2">
        <v>11</v>
      </c>
      <c r="F12" s="2" t="s">
        <v>21</v>
      </c>
      <c r="G12" s="3">
        <v>45876</v>
      </c>
      <c r="H12" s="2">
        <v>0</v>
      </c>
      <c r="I12" s="2" t="s">
        <v>22</v>
      </c>
      <c r="J12" s="4">
        <v>3.3769999999999998</v>
      </c>
      <c r="K12" s="6">
        <v>6.18</v>
      </c>
      <c r="L12">
        <v>75291</v>
      </c>
      <c r="M12">
        <v>1.89</v>
      </c>
      <c r="N12">
        <v>97.67</v>
      </c>
      <c r="O12">
        <v>0.44</v>
      </c>
      <c r="P12">
        <v>1725074</v>
      </c>
      <c r="Q12" s="2">
        <v>460</v>
      </c>
      <c r="R12" s="5">
        <v>68.607185363769531</v>
      </c>
      <c r="S12" s="5">
        <v>69.701889038085938</v>
      </c>
    </row>
    <row r="13" spans="1:19">
      <c r="A13" s="2" t="s">
        <v>36</v>
      </c>
      <c r="B13" s="2" t="s">
        <v>34</v>
      </c>
      <c r="C13" s="2">
        <v>6.2</v>
      </c>
      <c r="D13" s="2" t="s">
        <v>26</v>
      </c>
      <c r="E13" s="2">
        <v>12</v>
      </c>
      <c r="F13" s="2" t="s">
        <v>21</v>
      </c>
      <c r="G13" s="3">
        <v>45876</v>
      </c>
      <c r="H13" s="2">
        <v>0</v>
      </c>
      <c r="I13" s="2" t="s">
        <v>22</v>
      </c>
      <c r="J13" s="4">
        <v>3.2749999999999999</v>
      </c>
      <c r="K13" s="6">
        <v>6.16</v>
      </c>
      <c r="L13">
        <v>75296</v>
      </c>
      <c r="M13">
        <v>1.87</v>
      </c>
      <c r="N13">
        <v>97.7</v>
      </c>
      <c r="O13">
        <v>0.43</v>
      </c>
      <c r="P13">
        <v>1661751</v>
      </c>
      <c r="Q13" s="2">
        <v>370</v>
      </c>
      <c r="R13" s="5">
        <v>69.770408630371094</v>
      </c>
      <c r="S13" s="5">
        <v>69.2012939453125</v>
      </c>
    </row>
    <row r="14" spans="1:19">
      <c r="A14" s="2" t="s">
        <v>37</v>
      </c>
      <c r="B14" s="2" t="s">
        <v>34</v>
      </c>
      <c r="C14" s="2">
        <v>6.8</v>
      </c>
      <c r="D14" s="2" t="s">
        <v>20</v>
      </c>
      <c r="E14" s="2">
        <v>13</v>
      </c>
      <c r="F14" s="2" t="s">
        <v>21</v>
      </c>
      <c r="G14" s="3">
        <v>45876</v>
      </c>
      <c r="H14" s="2">
        <v>0</v>
      </c>
      <c r="I14" s="2" t="s">
        <v>22</v>
      </c>
      <c r="J14" s="4">
        <v>3.6</v>
      </c>
      <c r="K14" s="6">
        <v>6.7</v>
      </c>
      <c r="L14">
        <v>75301</v>
      </c>
      <c r="M14">
        <v>1.88</v>
      </c>
      <c r="N14">
        <v>97.65</v>
      </c>
      <c r="O14">
        <v>0.46</v>
      </c>
      <c r="P14">
        <v>1830297</v>
      </c>
      <c r="Q14" s="2">
        <v>93</v>
      </c>
      <c r="R14" s="5">
        <v>70.0223388671875</v>
      </c>
      <c r="S14" s="5">
        <v>67.994224548339844</v>
      </c>
    </row>
    <row r="15" spans="1:19">
      <c r="A15" s="2" t="s">
        <v>38</v>
      </c>
      <c r="B15" s="2" t="s">
        <v>34</v>
      </c>
      <c r="C15" s="2">
        <v>6.8</v>
      </c>
      <c r="D15" s="2" t="s">
        <v>24</v>
      </c>
      <c r="E15" s="2">
        <v>14</v>
      </c>
      <c r="F15" s="2" t="s">
        <v>21</v>
      </c>
      <c r="G15" s="3">
        <v>45876</v>
      </c>
      <c r="H15" s="2">
        <v>0</v>
      </c>
      <c r="I15" s="2" t="s">
        <v>22</v>
      </c>
      <c r="J15" s="4">
        <v>3.24</v>
      </c>
      <c r="K15" s="6">
        <v>6.78</v>
      </c>
      <c r="L15">
        <v>75306</v>
      </c>
      <c r="M15">
        <v>1.92</v>
      </c>
      <c r="N15">
        <v>97.6</v>
      </c>
      <c r="O15">
        <v>0.48</v>
      </c>
      <c r="P15">
        <v>1653029</v>
      </c>
      <c r="Q15" s="2">
        <v>415</v>
      </c>
      <c r="R15" s="5">
        <v>69.352241516113281</v>
      </c>
      <c r="S15" s="5">
        <v>69.977432250976563</v>
      </c>
    </row>
    <row r="16" spans="1:19">
      <c r="A16" s="2" t="s">
        <v>39</v>
      </c>
      <c r="B16" s="2" t="s">
        <v>34</v>
      </c>
      <c r="C16" s="2">
        <v>6.8</v>
      </c>
      <c r="D16" s="2" t="s">
        <v>26</v>
      </c>
      <c r="E16" s="2">
        <v>15</v>
      </c>
      <c r="F16" s="2" t="s">
        <v>21</v>
      </c>
      <c r="G16" s="3">
        <v>45876</v>
      </c>
      <c r="H16" s="2">
        <v>0</v>
      </c>
      <c r="I16" s="2" t="s">
        <v>22</v>
      </c>
      <c r="J16" s="4">
        <v>3.347</v>
      </c>
      <c r="K16" s="6">
        <v>6.76</v>
      </c>
      <c r="L16">
        <v>75311</v>
      </c>
      <c r="M16">
        <v>1.91</v>
      </c>
      <c r="N16">
        <v>97.59</v>
      </c>
      <c r="O16">
        <v>0.5</v>
      </c>
      <c r="P16">
        <v>1724543</v>
      </c>
      <c r="Q16" s="2">
        <v>387</v>
      </c>
      <c r="R16" s="5">
        <v>70.566505432128906</v>
      </c>
      <c r="S16" s="5">
        <v>69.285751342773438</v>
      </c>
    </row>
    <row r="17" spans="1:19">
      <c r="A17" s="2" t="s">
        <v>18</v>
      </c>
      <c r="B17" s="2" t="s">
        <v>19</v>
      </c>
      <c r="C17" s="2">
        <v>6.5</v>
      </c>
      <c r="D17" s="2" t="s">
        <v>20</v>
      </c>
      <c r="E17" s="2">
        <v>1</v>
      </c>
      <c r="F17" s="2" t="s">
        <v>40</v>
      </c>
      <c r="G17" s="3">
        <v>45876</v>
      </c>
      <c r="H17" s="2">
        <v>0</v>
      </c>
      <c r="I17" s="2" t="s">
        <v>22</v>
      </c>
      <c r="J17" s="4">
        <v>3.843</v>
      </c>
      <c r="K17" s="6">
        <v>6.37</v>
      </c>
      <c r="L17">
        <v>75231</v>
      </c>
      <c r="M17">
        <v>1.94</v>
      </c>
      <c r="N17">
        <v>97.75</v>
      </c>
      <c r="O17">
        <v>0.31</v>
      </c>
      <c r="P17">
        <v>1918688</v>
      </c>
      <c r="Q17" s="2">
        <v>82</v>
      </c>
      <c r="R17" s="5">
        <v>69.310966491699219</v>
      </c>
      <c r="S17" s="5">
        <v>68.038360595703125</v>
      </c>
    </row>
    <row r="18" spans="1:19">
      <c r="A18" s="2" t="s">
        <v>23</v>
      </c>
      <c r="B18" s="2" t="s">
        <v>19</v>
      </c>
      <c r="C18" s="2">
        <v>6.5</v>
      </c>
      <c r="D18" s="2" t="s">
        <v>24</v>
      </c>
      <c r="E18" s="2">
        <v>2</v>
      </c>
      <c r="F18" s="2" t="s">
        <v>40</v>
      </c>
      <c r="G18" s="3">
        <v>45876</v>
      </c>
      <c r="H18" s="2">
        <v>0</v>
      </c>
      <c r="I18" s="2" t="s">
        <v>22</v>
      </c>
      <c r="J18" s="4">
        <v>3.6240000000000001</v>
      </c>
      <c r="K18" s="6">
        <v>6.36</v>
      </c>
      <c r="L18">
        <v>75236</v>
      </c>
      <c r="M18">
        <v>1.94</v>
      </c>
      <c r="N18">
        <v>97.71</v>
      </c>
      <c r="O18">
        <v>0.35</v>
      </c>
      <c r="P18">
        <v>1802190</v>
      </c>
      <c r="Q18" s="2">
        <v>393</v>
      </c>
      <c r="R18" s="5">
        <v>68.763893127441406</v>
      </c>
      <c r="S18" s="5">
        <v>69.236007690429688</v>
      </c>
    </row>
    <row r="19" spans="1:19">
      <c r="A19" s="2" t="s">
        <v>25</v>
      </c>
      <c r="B19" s="2" t="s">
        <v>19</v>
      </c>
      <c r="C19" s="2">
        <v>6.5</v>
      </c>
      <c r="D19" s="2" t="s">
        <v>26</v>
      </c>
      <c r="E19" s="2">
        <v>3</v>
      </c>
      <c r="F19" s="2" t="s">
        <v>40</v>
      </c>
      <c r="G19" s="3">
        <v>45876</v>
      </c>
      <c r="H19" s="2">
        <v>0</v>
      </c>
      <c r="I19" s="2" t="s">
        <v>22</v>
      </c>
      <c r="J19" s="4">
        <v>3.6629999999999998</v>
      </c>
      <c r="K19" s="6">
        <v>6.46</v>
      </c>
      <c r="L19">
        <v>75241</v>
      </c>
      <c r="M19">
        <v>1.92</v>
      </c>
      <c r="N19">
        <v>97.72</v>
      </c>
      <c r="O19">
        <v>0.36</v>
      </c>
      <c r="P19">
        <v>1823294</v>
      </c>
      <c r="Q19" s="2">
        <v>375</v>
      </c>
      <c r="R19" s="5">
        <v>70.499885559082031</v>
      </c>
      <c r="S19" s="5">
        <v>69.626640319824219</v>
      </c>
    </row>
    <row r="20" spans="1:19">
      <c r="A20" s="2" t="s">
        <v>27</v>
      </c>
      <c r="B20" s="2" t="s">
        <v>19</v>
      </c>
      <c r="C20" s="2">
        <v>7</v>
      </c>
      <c r="D20" s="2" t="s">
        <v>20</v>
      </c>
      <c r="E20" s="2">
        <v>4</v>
      </c>
      <c r="F20" s="2" t="s">
        <v>40</v>
      </c>
      <c r="G20" s="3">
        <v>45876</v>
      </c>
      <c r="H20" s="2">
        <v>0</v>
      </c>
      <c r="I20" s="2" t="s">
        <v>22</v>
      </c>
      <c r="J20" s="4">
        <v>3.7309999999999999</v>
      </c>
      <c r="K20" s="6">
        <v>6.85</v>
      </c>
      <c r="L20">
        <v>75246</v>
      </c>
      <c r="M20">
        <v>1.88</v>
      </c>
      <c r="N20">
        <v>97.69</v>
      </c>
      <c r="O20">
        <v>0.43</v>
      </c>
      <c r="P20">
        <v>1879146</v>
      </c>
      <c r="Q20" s="2">
        <v>84</v>
      </c>
      <c r="R20" s="5">
        <v>70.421920776367188</v>
      </c>
      <c r="S20" s="5">
        <v>68.44171142578125</v>
      </c>
    </row>
    <row r="21" spans="1:19">
      <c r="A21" s="2" t="s">
        <v>28</v>
      </c>
      <c r="B21" s="2" t="s">
        <v>19</v>
      </c>
      <c r="C21" s="2">
        <v>7</v>
      </c>
      <c r="D21" s="2" t="s">
        <v>24</v>
      </c>
      <c r="E21" s="2">
        <v>5</v>
      </c>
      <c r="F21" s="2" t="s">
        <v>40</v>
      </c>
      <c r="G21" s="3">
        <v>45876</v>
      </c>
      <c r="H21" s="2">
        <v>0</v>
      </c>
      <c r="I21" s="2" t="s">
        <v>22</v>
      </c>
      <c r="J21" s="4">
        <v>3.5449999999999999</v>
      </c>
      <c r="K21" s="6">
        <v>6.88</v>
      </c>
      <c r="L21">
        <v>75251</v>
      </c>
      <c r="M21">
        <v>1.89</v>
      </c>
      <c r="N21">
        <v>97.64</v>
      </c>
      <c r="O21">
        <v>0.46</v>
      </c>
      <c r="P21">
        <v>1801495</v>
      </c>
      <c r="Q21" s="2">
        <v>408</v>
      </c>
      <c r="R21" s="5">
        <v>69.794387817382813</v>
      </c>
      <c r="S21" s="5">
        <v>69.510665893554688</v>
      </c>
    </row>
    <row r="22" spans="1:19">
      <c r="A22" s="2" t="s">
        <v>29</v>
      </c>
      <c r="B22" s="2" t="s">
        <v>19</v>
      </c>
      <c r="C22" s="2">
        <v>7</v>
      </c>
      <c r="D22" s="2" t="s">
        <v>26</v>
      </c>
      <c r="E22" s="2">
        <v>6</v>
      </c>
      <c r="F22" s="2" t="s">
        <v>40</v>
      </c>
      <c r="G22" s="3">
        <v>45876</v>
      </c>
      <c r="H22" s="2">
        <v>0</v>
      </c>
      <c r="I22" s="2" t="s">
        <v>22</v>
      </c>
      <c r="J22" s="4">
        <v>3.6040000000000001</v>
      </c>
      <c r="K22" s="6">
        <v>6.9</v>
      </c>
      <c r="L22">
        <v>75256</v>
      </c>
      <c r="M22">
        <v>1.88</v>
      </c>
      <c r="N22">
        <v>97.67</v>
      </c>
      <c r="O22">
        <v>0.45</v>
      </c>
      <c r="P22">
        <v>1818299</v>
      </c>
      <c r="Q22" s="2">
        <v>388</v>
      </c>
      <c r="R22" s="5">
        <v>70.875862121582031</v>
      </c>
      <c r="S22" s="5">
        <v>69.29205322265625</v>
      </c>
    </row>
    <row r="23" spans="1:19">
      <c r="A23" s="2" t="s">
        <v>30</v>
      </c>
      <c r="B23" s="2" t="s">
        <v>19</v>
      </c>
      <c r="C23" s="2">
        <v>7.5</v>
      </c>
      <c r="D23" s="2" t="s">
        <v>20</v>
      </c>
      <c r="E23" s="2">
        <v>7</v>
      </c>
      <c r="F23" s="2" t="s">
        <v>40</v>
      </c>
      <c r="G23" s="3">
        <v>45876</v>
      </c>
      <c r="H23" s="2">
        <v>0</v>
      </c>
      <c r="I23" s="2" t="s">
        <v>22</v>
      </c>
      <c r="J23" s="4">
        <v>3.7770000000000001</v>
      </c>
      <c r="K23" s="6">
        <v>7.28</v>
      </c>
      <c r="L23">
        <v>75261</v>
      </c>
      <c r="M23">
        <v>1.98</v>
      </c>
      <c r="N23">
        <v>97.61</v>
      </c>
      <c r="O23">
        <v>0.41</v>
      </c>
      <c r="P23">
        <v>1905061</v>
      </c>
      <c r="Q23" s="2">
        <v>89</v>
      </c>
      <c r="R23" s="5">
        <v>70.534477233886719</v>
      </c>
      <c r="S23" s="5">
        <v>68.267715454101563</v>
      </c>
    </row>
    <row r="24" spans="1:19">
      <c r="A24" s="2" t="s">
        <v>31</v>
      </c>
      <c r="B24" s="2" t="s">
        <v>19</v>
      </c>
      <c r="C24" s="2">
        <v>7.5</v>
      </c>
      <c r="D24" s="2" t="s">
        <v>24</v>
      </c>
      <c r="E24" s="2">
        <v>8</v>
      </c>
      <c r="F24" s="2" t="s">
        <v>40</v>
      </c>
      <c r="G24" s="3">
        <v>45876</v>
      </c>
      <c r="H24" s="2">
        <v>0</v>
      </c>
      <c r="I24" s="2" t="s">
        <v>22</v>
      </c>
      <c r="J24" s="4">
        <v>3.43</v>
      </c>
      <c r="K24" s="6">
        <v>7.39</v>
      </c>
      <c r="L24">
        <v>75266</v>
      </c>
      <c r="M24">
        <v>1.93</v>
      </c>
      <c r="N24">
        <v>97.63</v>
      </c>
      <c r="O24">
        <v>0.44</v>
      </c>
      <c r="P24">
        <v>1733951</v>
      </c>
      <c r="Q24" s="2">
        <v>398</v>
      </c>
      <c r="R24" s="5">
        <v>70.152694702148438</v>
      </c>
      <c r="S24" s="5">
        <v>69.232925415039063</v>
      </c>
    </row>
    <row r="25" spans="1:19">
      <c r="A25" s="2" t="s">
        <v>32</v>
      </c>
      <c r="B25" s="2" t="s">
        <v>19</v>
      </c>
      <c r="C25" s="2">
        <v>7.5</v>
      </c>
      <c r="D25" s="2" t="s">
        <v>26</v>
      </c>
      <c r="E25" s="2">
        <v>9</v>
      </c>
      <c r="F25" s="2" t="s">
        <v>40</v>
      </c>
      <c r="G25" s="3">
        <v>45876</v>
      </c>
      <c r="H25" s="2">
        <v>0</v>
      </c>
      <c r="I25" s="2" t="s">
        <v>22</v>
      </c>
      <c r="J25" s="4">
        <v>3.609</v>
      </c>
      <c r="K25" s="6">
        <v>7.31</v>
      </c>
      <c r="L25">
        <v>75281</v>
      </c>
      <c r="M25">
        <v>1.99</v>
      </c>
      <c r="N25">
        <v>97.59</v>
      </c>
      <c r="O25">
        <v>0.41</v>
      </c>
      <c r="P25">
        <v>1832519</v>
      </c>
      <c r="Q25" s="2">
        <v>382</v>
      </c>
      <c r="R25" s="5">
        <v>70.772941589355469</v>
      </c>
      <c r="S25" s="5">
        <v>68.269973754882813</v>
      </c>
    </row>
    <row r="26" spans="1:19">
      <c r="A26" s="2" t="s">
        <v>33</v>
      </c>
      <c r="B26" s="2" t="s">
        <v>34</v>
      </c>
      <c r="C26" s="2">
        <v>6.2</v>
      </c>
      <c r="D26" s="2" t="s">
        <v>20</v>
      </c>
      <c r="E26" s="2">
        <v>10</v>
      </c>
      <c r="F26" s="2" t="s">
        <v>40</v>
      </c>
      <c r="G26" s="3">
        <v>45876</v>
      </c>
      <c r="H26" s="2">
        <v>0</v>
      </c>
      <c r="I26" s="2" t="s">
        <v>22</v>
      </c>
      <c r="J26" s="4">
        <v>3.7589999999999999</v>
      </c>
      <c r="K26" s="6">
        <v>6.1</v>
      </c>
      <c r="L26">
        <v>75286</v>
      </c>
      <c r="M26">
        <v>1.92</v>
      </c>
      <c r="N26">
        <v>97.65</v>
      </c>
      <c r="O26">
        <v>0.43</v>
      </c>
      <c r="P26">
        <v>1922116</v>
      </c>
      <c r="Q26" s="2">
        <v>112</v>
      </c>
      <c r="R26" s="5">
        <v>68.238418579101563</v>
      </c>
      <c r="S26" s="5">
        <v>67.917045593261719</v>
      </c>
    </row>
    <row r="27" spans="1:19">
      <c r="A27" s="2" t="s">
        <v>35</v>
      </c>
      <c r="B27" s="2" t="s">
        <v>34</v>
      </c>
      <c r="C27" s="2">
        <v>6.2</v>
      </c>
      <c r="D27" s="2" t="s">
        <v>24</v>
      </c>
      <c r="E27" s="2">
        <v>11</v>
      </c>
      <c r="F27" s="2" t="s">
        <v>40</v>
      </c>
      <c r="G27" s="3">
        <v>45876</v>
      </c>
      <c r="H27" s="2">
        <v>0</v>
      </c>
      <c r="I27" s="2" t="s">
        <v>22</v>
      </c>
      <c r="J27" s="4">
        <v>3.3769999999999998</v>
      </c>
      <c r="K27" s="6">
        <v>6.18</v>
      </c>
      <c r="L27">
        <v>75291</v>
      </c>
      <c r="M27">
        <v>1.89</v>
      </c>
      <c r="N27">
        <v>97.67</v>
      </c>
      <c r="O27">
        <v>0.44</v>
      </c>
      <c r="P27">
        <v>1725074</v>
      </c>
      <c r="Q27" s="2">
        <v>460</v>
      </c>
      <c r="R27" s="5">
        <v>68.607185363769531</v>
      </c>
      <c r="S27" s="5">
        <v>69.701889038085938</v>
      </c>
    </row>
    <row r="28" spans="1:19">
      <c r="A28" s="2" t="s">
        <v>36</v>
      </c>
      <c r="B28" s="2" t="s">
        <v>34</v>
      </c>
      <c r="C28" s="2">
        <v>6.2</v>
      </c>
      <c r="D28" s="2" t="s">
        <v>26</v>
      </c>
      <c r="E28" s="2">
        <v>12</v>
      </c>
      <c r="F28" s="2" t="s">
        <v>40</v>
      </c>
      <c r="G28" s="3">
        <v>45876</v>
      </c>
      <c r="H28" s="2">
        <v>0</v>
      </c>
      <c r="I28" s="2" t="s">
        <v>22</v>
      </c>
      <c r="J28" s="4">
        <v>3.2749999999999999</v>
      </c>
      <c r="K28" s="6">
        <v>6.16</v>
      </c>
      <c r="L28">
        <v>75296</v>
      </c>
      <c r="M28">
        <v>1.87</v>
      </c>
      <c r="N28">
        <v>97.7</v>
      </c>
      <c r="O28">
        <v>0.43</v>
      </c>
      <c r="P28">
        <v>1661751</v>
      </c>
      <c r="Q28" s="2">
        <v>370</v>
      </c>
      <c r="R28" s="5">
        <v>69.770408630371094</v>
      </c>
      <c r="S28" s="5">
        <v>69.2012939453125</v>
      </c>
    </row>
    <row r="29" spans="1:19">
      <c r="A29" s="2" t="s">
        <v>37</v>
      </c>
      <c r="B29" s="2" t="s">
        <v>34</v>
      </c>
      <c r="C29" s="2">
        <v>6.8</v>
      </c>
      <c r="D29" s="2" t="s">
        <v>20</v>
      </c>
      <c r="E29" s="2">
        <v>13</v>
      </c>
      <c r="F29" s="2" t="s">
        <v>40</v>
      </c>
      <c r="G29" s="3">
        <v>45876</v>
      </c>
      <c r="H29" s="2">
        <v>0</v>
      </c>
      <c r="I29" s="2" t="s">
        <v>22</v>
      </c>
      <c r="J29" s="4">
        <v>3.6</v>
      </c>
      <c r="K29" s="6">
        <v>6.7</v>
      </c>
      <c r="L29">
        <v>75301</v>
      </c>
      <c r="M29">
        <v>1.88</v>
      </c>
      <c r="N29">
        <v>97.65</v>
      </c>
      <c r="O29">
        <v>0.46</v>
      </c>
      <c r="P29">
        <v>1830297</v>
      </c>
      <c r="Q29" s="2">
        <v>93</v>
      </c>
      <c r="R29" s="5">
        <v>70.0223388671875</v>
      </c>
      <c r="S29" s="5">
        <v>67.994224548339844</v>
      </c>
    </row>
    <row r="30" spans="1:19">
      <c r="A30" s="2" t="s">
        <v>38</v>
      </c>
      <c r="B30" s="2" t="s">
        <v>34</v>
      </c>
      <c r="C30" s="2">
        <v>6.8</v>
      </c>
      <c r="D30" s="2" t="s">
        <v>24</v>
      </c>
      <c r="E30" s="2">
        <v>14</v>
      </c>
      <c r="F30" s="2" t="s">
        <v>40</v>
      </c>
      <c r="G30" s="3">
        <v>45876</v>
      </c>
      <c r="H30" s="2">
        <v>0</v>
      </c>
      <c r="I30" s="2" t="s">
        <v>22</v>
      </c>
      <c r="J30" s="4">
        <v>3.24</v>
      </c>
      <c r="K30" s="6">
        <v>6.78</v>
      </c>
      <c r="L30">
        <v>75306</v>
      </c>
      <c r="M30">
        <v>1.92</v>
      </c>
      <c r="N30">
        <v>97.6</v>
      </c>
      <c r="O30">
        <v>0.48</v>
      </c>
      <c r="P30">
        <v>1653029</v>
      </c>
      <c r="Q30" s="2">
        <v>415</v>
      </c>
      <c r="R30" s="5">
        <v>69.352241516113281</v>
      </c>
      <c r="S30" s="5">
        <v>69.977432250976563</v>
      </c>
    </row>
    <row r="31" spans="1:19">
      <c r="A31" s="2" t="s">
        <v>39</v>
      </c>
      <c r="B31" s="2" t="s">
        <v>34</v>
      </c>
      <c r="C31" s="2">
        <v>6.8</v>
      </c>
      <c r="D31" s="2" t="s">
        <v>26</v>
      </c>
      <c r="E31" s="2">
        <v>15</v>
      </c>
      <c r="F31" s="2" t="s">
        <v>40</v>
      </c>
      <c r="G31" s="3">
        <v>45876</v>
      </c>
      <c r="H31" s="2">
        <v>0</v>
      </c>
      <c r="I31" s="2" t="s">
        <v>22</v>
      </c>
      <c r="J31" s="4">
        <v>3.347</v>
      </c>
      <c r="K31" s="6">
        <v>6.76</v>
      </c>
      <c r="L31">
        <v>75311</v>
      </c>
      <c r="M31">
        <v>1.91</v>
      </c>
      <c r="N31">
        <v>97.59</v>
      </c>
      <c r="O31">
        <v>0.5</v>
      </c>
      <c r="P31">
        <v>1724543</v>
      </c>
      <c r="Q31" s="2">
        <v>387</v>
      </c>
      <c r="R31" s="5">
        <v>70.566505432128906</v>
      </c>
      <c r="S31" s="5">
        <v>69.285751342773438</v>
      </c>
    </row>
    <row r="32" spans="1:19">
      <c r="A32" s="2" t="s">
        <v>18</v>
      </c>
      <c r="B32" s="2" t="s">
        <v>19</v>
      </c>
      <c r="C32" s="2">
        <v>6.5</v>
      </c>
      <c r="D32" s="2" t="s">
        <v>20</v>
      </c>
      <c r="E32" s="2">
        <v>1</v>
      </c>
      <c r="F32" s="2" t="s">
        <v>41</v>
      </c>
      <c r="G32" s="3">
        <v>45876</v>
      </c>
      <c r="H32" s="2" t="s">
        <v>42</v>
      </c>
      <c r="I32" s="2" t="s">
        <v>22</v>
      </c>
      <c r="J32" s="4">
        <v>3.843</v>
      </c>
      <c r="K32" s="6">
        <v>6.37</v>
      </c>
      <c r="L32">
        <v>75231</v>
      </c>
      <c r="M32">
        <v>1.94</v>
      </c>
      <c r="N32">
        <v>97.75</v>
      </c>
      <c r="O32">
        <v>0.31</v>
      </c>
      <c r="P32">
        <v>1918688</v>
      </c>
      <c r="Q32" s="2">
        <v>82</v>
      </c>
      <c r="R32" s="5">
        <v>69.310966491699219</v>
      </c>
      <c r="S32" s="5">
        <v>68.038360595703125</v>
      </c>
    </row>
    <row r="33" spans="1:19">
      <c r="A33" s="2" t="s">
        <v>23</v>
      </c>
      <c r="B33" s="2" t="s">
        <v>19</v>
      </c>
      <c r="C33" s="2">
        <v>6.5</v>
      </c>
      <c r="D33" s="2" t="s">
        <v>24</v>
      </c>
      <c r="E33" s="2">
        <v>2</v>
      </c>
      <c r="F33" s="2" t="s">
        <v>41</v>
      </c>
      <c r="G33" s="3">
        <v>45876</v>
      </c>
      <c r="H33" s="2" t="s">
        <v>42</v>
      </c>
      <c r="I33" s="2" t="s">
        <v>22</v>
      </c>
      <c r="J33" s="4">
        <v>3.6240000000000001</v>
      </c>
      <c r="K33" s="6">
        <v>6.36</v>
      </c>
      <c r="L33">
        <v>75236</v>
      </c>
      <c r="M33">
        <v>1.94</v>
      </c>
      <c r="N33">
        <v>97.71</v>
      </c>
      <c r="O33">
        <v>0.35</v>
      </c>
      <c r="P33">
        <v>1802190</v>
      </c>
      <c r="Q33" s="2">
        <v>393</v>
      </c>
      <c r="R33" s="5">
        <v>68.763893127441406</v>
      </c>
      <c r="S33" s="5">
        <v>69.236007690429688</v>
      </c>
    </row>
    <row r="34" spans="1:19">
      <c r="A34" s="2" t="s">
        <v>25</v>
      </c>
      <c r="B34" s="2" t="s">
        <v>19</v>
      </c>
      <c r="C34" s="2">
        <v>6.5</v>
      </c>
      <c r="D34" s="2" t="s">
        <v>26</v>
      </c>
      <c r="E34" s="2">
        <v>3</v>
      </c>
      <c r="F34" s="2" t="s">
        <v>41</v>
      </c>
      <c r="G34" s="3">
        <v>45876</v>
      </c>
      <c r="H34" s="2" t="s">
        <v>42</v>
      </c>
      <c r="I34" s="2" t="s">
        <v>22</v>
      </c>
      <c r="J34" s="4">
        <v>3.6629999999999998</v>
      </c>
      <c r="K34" s="6">
        <v>6.46</v>
      </c>
      <c r="L34">
        <v>75241</v>
      </c>
      <c r="M34">
        <v>1.92</v>
      </c>
      <c r="N34">
        <v>97.72</v>
      </c>
      <c r="O34">
        <v>0.36</v>
      </c>
      <c r="P34">
        <v>1823294</v>
      </c>
      <c r="Q34" s="2">
        <v>375</v>
      </c>
      <c r="R34" s="5">
        <v>70.499885559082031</v>
      </c>
      <c r="S34" s="5">
        <v>69.626640319824219</v>
      </c>
    </row>
    <row r="35" spans="1:19">
      <c r="A35" s="2" t="s">
        <v>27</v>
      </c>
      <c r="B35" s="2" t="s">
        <v>19</v>
      </c>
      <c r="C35" s="2">
        <v>7</v>
      </c>
      <c r="D35" s="2" t="s">
        <v>20</v>
      </c>
      <c r="E35" s="2">
        <v>4</v>
      </c>
      <c r="F35" s="2" t="s">
        <v>41</v>
      </c>
      <c r="G35" s="3">
        <v>45876</v>
      </c>
      <c r="H35" s="2" t="s">
        <v>42</v>
      </c>
      <c r="I35" s="2" t="s">
        <v>22</v>
      </c>
      <c r="J35" s="4">
        <v>3.7309999999999999</v>
      </c>
      <c r="K35" s="6">
        <v>6.85</v>
      </c>
      <c r="L35">
        <v>75246</v>
      </c>
      <c r="M35">
        <v>1.88</v>
      </c>
      <c r="N35">
        <v>97.69</v>
      </c>
      <c r="O35">
        <v>0.43</v>
      </c>
      <c r="P35">
        <v>1879146</v>
      </c>
      <c r="Q35" s="2">
        <v>84</v>
      </c>
      <c r="R35" s="5">
        <v>70.421920776367188</v>
      </c>
      <c r="S35" s="5">
        <v>68.44171142578125</v>
      </c>
    </row>
    <row r="36" spans="1:19">
      <c r="A36" s="2" t="s">
        <v>28</v>
      </c>
      <c r="B36" s="2" t="s">
        <v>19</v>
      </c>
      <c r="C36" s="2">
        <v>7</v>
      </c>
      <c r="D36" s="2" t="s">
        <v>24</v>
      </c>
      <c r="E36" s="2">
        <v>5</v>
      </c>
      <c r="F36" s="2" t="s">
        <v>41</v>
      </c>
      <c r="G36" s="3">
        <v>45876</v>
      </c>
      <c r="H36" s="2" t="s">
        <v>42</v>
      </c>
      <c r="I36" s="2" t="s">
        <v>22</v>
      </c>
      <c r="J36" s="4">
        <v>3.5449999999999999</v>
      </c>
      <c r="K36" s="6">
        <v>6.88</v>
      </c>
      <c r="L36">
        <v>75251</v>
      </c>
      <c r="M36">
        <v>1.89</v>
      </c>
      <c r="N36">
        <v>97.64</v>
      </c>
      <c r="O36">
        <v>0.46</v>
      </c>
      <c r="P36">
        <v>1801495</v>
      </c>
      <c r="Q36" s="2">
        <v>408</v>
      </c>
      <c r="R36" s="5">
        <v>69.794387817382813</v>
      </c>
      <c r="S36" s="5">
        <v>69.510665893554688</v>
      </c>
    </row>
    <row r="37" spans="1:19">
      <c r="A37" s="2" t="s">
        <v>29</v>
      </c>
      <c r="B37" s="2" t="s">
        <v>19</v>
      </c>
      <c r="C37" s="2">
        <v>7</v>
      </c>
      <c r="D37" s="2" t="s">
        <v>26</v>
      </c>
      <c r="E37" s="2">
        <v>6</v>
      </c>
      <c r="F37" s="2" t="s">
        <v>41</v>
      </c>
      <c r="G37" s="3">
        <v>45876</v>
      </c>
      <c r="H37" s="2" t="s">
        <v>42</v>
      </c>
      <c r="I37" s="2" t="s">
        <v>22</v>
      </c>
      <c r="J37" s="4">
        <v>3.6040000000000001</v>
      </c>
      <c r="K37" s="6">
        <v>6.9</v>
      </c>
      <c r="L37">
        <v>75256</v>
      </c>
      <c r="M37">
        <v>1.88</v>
      </c>
      <c r="N37">
        <v>97.67</v>
      </c>
      <c r="O37">
        <v>0.45</v>
      </c>
      <c r="P37">
        <v>1818299</v>
      </c>
      <c r="Q37" s="2">
        <v>388</v>
      </c>
      <c r="R37" s="5">
        <v>70.875862121582031</v>
      </c>
      <c r="S37" s="5">
        <v>69.29205322265625</v>
      </c>
    </row>
    <row r="38" spans="1:19">
      <c r="A38" s="2" t="s">
        <v>30</v>
      </c>
      <c r="B38" s="2" t="s">
        <v>19</v>
      </c>
      <c r="C38" s="2">
        <v>7.5</v>
      </c>
      <c r="D38" s="2" t="s">
        <v>20</v>
      </c>
      <c r="E38" s="2">
        <v>7</v>
      </c>
      <c r="F38" s="2" t="s">
        <v>41</v>
      </c>
      <c r="G38" s="3">
        <v>45876</v>
      </c>
      <c r="H38" s="2" t="s">
        <v>42</v>
      </c>
      <c r="I38" s="2" t="s">
        <v>22</v>
      </c>
      <c r="J38" s="4">
        <v>3.7770000000000001</v>
      </c>
      <c r="K38" s="6">
        <v>7.28</v>
      </c>
      <c r="L38">
        <v>75261</v>
      </c>
      <c r="M38">
        <v>1.98</v>
      </c>
      <c r="N38">
        <v>97.61</v>
      </c>
      <c r="O38">
        <v>0.41</v>
      </c>
      <c r="P38">
        <v>1905061</v>
      </c>
      <c r="Q38" s="2">
        <v>89</v>
      </c>
      <c r="R38" s="5">
        <v>70.534477233886719</v>
      </c>
      <c r="S38" s="5">
        <v>68.267715454101563</v>
      </c>
    </row>
    <row r="39" spans="1:19">
      <c r="A39" s="2" t="s">
        <v>31</v>
      </c>
      <c r="B39" s="2" t="s">
        <v>19</v>
      </c>
      <c r="C39" s="2">
        <v>7.5</v>
      </c>
      <c r="D39" s="2" t="s">
        <v>24</v>
      </c>
      <c r="E39" s="2">
        <v>8</v>
      </c>
      <c r="F39" s="2" t="s">
        <v>41</v>
      </c>
      <c r="G39" s="3">
        <v>45876</v>
      </c>
      <c r="H39" s="2" t="s">
        <v>42</v>
      </c>
      <c r="I39" s="2" t="s">
        <v>22</v>
      </c>
      <c r="J39" s="4">
        <v>3.43</v>
      </c>
      <c r="K39" s="6">
        <v>7.39</v>
      </c>
      <c r="L39">
        <v>75266</v>
      </c>
      <c r="M39">
        <v>1.93</v>
      </c>
      <c r="N39">
        <v>97.63</v>
      </c>
      <c r="O39">
        <v>0.44</v>
      </c>
      <c r="P39">
        <v>1733951</v>
      </c>
      <c r="Q39" s="2">
        <v>398</v>
      </c>
      <c r="R39" s="5">
        <v>70.152694702148438</v>
      </c>
      <c r="S39" s="5">
        <v>69.232925415039063</v>
      </c>
    </row>
    <row r="40" spans="1:19">
      <c r="A40" s="2" t="s">
        <v>32</v>
      </c>
      <c r="B40" s="2" t="s">
        <v>19</v>
      </c>
      <c r="C40" s="2">
        <v>7.5</v>
      </c>
      <c r="D40" s="2" t="s">
        <v>26</v>
      </c>
      <c r="E40" s="2">
        <v>9</v>
      </c>
      <c r="F40" s="2" t="s">
        <v>41</v>
      </c>
      <c r="G40" s="3">
        <v>45876</v>
      </c>
      <c r="H40" s="2" t="s">
        <v>42</v>
      </c>
      <c r="I40" s="2" t="s">
        <v>22</v>
      </c>
      <c r="J40" s="4">
        <v>3.609</v>
      </c>
      <c r="K40" s="6">
        <v>7.31</v>
      </c>
      <c r="L40">
        <v>75281</v>
      </c>
      <c r="M40">
        <v>1.99</v>
      </c>
      <c r="N40">
        <v>97.59</v>
      </c>
      <c r="O40">
        <v>0.41</v>
      </c>
      <c r="P40">
        <v>1832519</v>
      </c>
      <c r="Q40" s="2">
        <v>382</v>
      </c>
      <c r="R40" s="5">
        <v>70.772941589355469</v>
      </c>
      <c r="S40" s="5">
        <v>68.269973754882813</v>
      </c>
    </row>
    <row r="41" spans="1:19">
      <c r="A41" s="2" t="s">
        <v>33</v>
      </c>
      <c r="B41" s="2" t="s">
        <v>34</v>
      </c>
      <c r="C41" s="2">
        <v>6.2</v>
      </c>
      <c r="D41" s="2" t="s">
        <v>20</v>
      </c>
      <c r="E41" s="2">
        <v>10</v>
      </c>
      <c r="F41" s="2" t="s">
        <v>41</v>
      </c>
      <c r="G41" s="3">
        <v>45876</v>
      </c>
      <c r="H41" s="2" t="s">
        <v>42</v>
      </c>
      <c r="I41" s="2" t="s">
        <v>22</v>
      </c>
      <c r="J41" s="4">
        <v>3.7589999999999999</v>
      </c>
      <c r="K41" s="6">
        <v>6.1</v>
      </c>
      <c r="L41">
        <v>75286</v>
      </c>
      <c r="M41">
        <v>1.92</v>
      </c>
      <c r="N41">
        <v>97.65</v>
      </c>
      <c r="O41">
        <v>0.43</v>
      </c>
      <c r="P41">
        <v>1922116</v>
      </c>
      <c r="Q41" s="2">
        <v>112</v>
      </c>
      <c r="R41" s="5">
        <v>68.238418579101563</v>
      </c>
      <c r="S41" s="5">
        <v>67.917045593261719</v>
      </c>
    </row>
    <row r="42" spans="1:19">
      <c r="A42" s="2" t="s">
        <v>35</v>
      </c>
      <c r="B42" s="2" t="s">
        <v>34</v>
      </c>
      <c r="C42" s="2">
        <v>6.2</v>
      </c>
      <c r="D42" s="2" t="s">
        <v>24</v>
      </c>
      <c r="E42" s="2">
        <v>11</v>
      </c>
      <c r="F42" s="2" t="s">
        <v>41</v>
      </c>
      <c r="G42" s="3">
        <v>45876</v>
      </c>
      <c r="H42" s="2" t="s">
        <v>42</v>
      </c>
      <c r="I42" s="2" t="s">
        <v>22</v>
      </c>
      <c r="J42" s="4">
        <v>3.3769999999999998</v>
      </c>
      <c r="K42" s="6">
        <v>6.18</v>
      </c>
      <c r="L42">
        <v>75291</v>
      </c>
      <c r="M42">
        <v>1.89</v>
      </c>
      <c r="N42">
        <v>97.67</v>
      </c>
      <c r="O42">
        <v>0.44</v>
      </c>
      <c r="P42">
        <v>1725074</v>
      </c>
      <c r="Q42" s="2">
        <v>460</v>
      </c>
      <c r="R42" s="5">
        <v>68.607185363769531</v>
      </c>
      <c r="S42" s="5">
        <v>69.701889038085938</v>
      </c>
    </row>
    <row r="43" spans="1:19">
      <c r="A43" s="2" t="s">
        <v>36</v>
      </c>
      <c r="B43" s="2" t="s">
        <v>34</v>
      </c>
      <c r="C43" s="2">
        <v>6.2</v>
      </c>
      <c r="D43" s="2" t="s">
        <v>26</v>
      </c>
      <c r="E43" s="2">
        <v>12</v>
      </c>
      <c r="F43" s="2" t="s">
        <v>41</v>
      </c>
      <c r="G43" s="3">
        <v>45876</v>
      </c>
      <c r="H43" s="2" t="s">
        <v>42</v>
      </c>
      <c r="I43" s="2" t="s">
        <v>22</v>
      </c>
      <c r="J43" s="4">
        <v>3.2749999999999999</v>
      </c>
      <c r="K43" s="6">
        <v>6.16</v>
      </c>
      <c r="L43">
        <v>75296</v>
      </c>
      <c r="M43">
        <v>1.87</v>
      </c>
      <c r="N43">
        <v>97.7</v>
      </c>
      <c r="O43">
        <v>0.43</v>
      </c>
      <c r="P43">
        <v>1661751</v>
      </c>
      <c r="Q43" s="2">
        <v>370</v>
      </c>
      <c r="R43" s="5">
        <v>69.770408630371094</v>
      </c>
      <c r="S43" s="5">
        <v>69.2012939453125</v>
      </c>
    </row>
    <row r="44" spans="1:19">
      <c r="A44" s="2" t="s">
        <v>37</v>
      </c>
      <c r="B44" s="2" t="s">
        <v>34</v>
      </c>
      <c r="C44" s="2">
        <v>6.8</v>
      </c>
      <c r="D44" s="2" t="s">
        <v>20</v>
      </c>
      <c r="E44" s="2">
        <v>13</v>
      </c>
      <c r="F44" s="2" t="s">
        <v>41</v>
      </c>
      <c r="G44" s="3">
        <v>45876</v>
      </c>
      <c r="H44" s="2" t="s">
        <v>42</v>
      </c>
      <c r="I44" s="2" t="s">
        <v>22</v>
      </c>
      <c r="J44" s="4">
        <v>3.6</v>
      </c>
      <c r="K44" s="6">
        <v>6.7</v>
      </c>
      <c r="L44">
        <v>75301</v>
      </c>
      <c r="M44">
        <v>1.88</v>
      </c>
      <c r="N44">
        <v>97.65</v>
      </c>
      <c r="O44">
        <v>0.46</v>
      </c>
      <c r="P44">
        <v>1830297</v>
      </c>
      <c r="Q44" s="2">
        <v>93</v>
      </c>
      <c r="R44" s="5">
        <v>70.0223388671875</v>
      </c>
      <c r="S44" s="5">
        <v>67.994224548339844</v>
      </c>
    </row>
    <row r="45" spans="1:19">
      <c r="A45" s="2" t="s">
        <v>38</v>
      </c>
      <c r="B45" s="2" t="s">
        <v>34</v>
      </c>
      <c r="C45" s="2">
        <v>6.8</v>
      </c>
      <c r="D45" s="2" t="s">
        <v>24</v>
      </c>
      <c r="E45" s="2">
        <v>14</v>
      </c>
      <c r="F45" s="2" t="s">
        <v>41</v>
      </c>
      <c r="G45" s="3">
        <v>45876</v>
      </c>
      <c r="H45" s="2" t="s">
        <v>42</v>
      </c>
      <c r="I45" s="2" t="s">
        <v>22</v>
      </c>
      <c r="J45" s="4">
        <v>3.24</v>
      </c>
      <c r="K45" s="6">
        <v>6.78</v>
      </c>
      <c r="L45">
        <v>75306</v>
      </c>
      <c r="M45">
        <v>1.92</v>
      </c>
      <c r="N45">
        <v>97.6</v>
      </c>
      <c r="O45">
        <v>0.48</v>
      </c>
      <c r="P45">
        <v>1653029</v>
      </c>
      <c r="Q45" s="2">
        <v>415</v>
      </c>
      <c r="R45" s="5">
        <v>69.352241516113281</v>
      </c>
      <c r="S45" s="5">
        <v>69.977432250976563</v>
      </c>
    </row>
    <row r="46" spans="1:19">
      <c r="A46" s="2" t="s">
        <v>39</v>
      </c>
      <c r="B46" s="2" t="s">
        <v>34</v>
      </c>
      <c r="C46" s="2">
        <v>6.8</v>
      </c>
      <c r="D46" s="2" t="s">
        <v>26</v>
      </c>
      <c r="E46" s="2">
        <v>15</v>
      </c>
      <c r="F46" s="2" t="s">
        <v>41</v>
      </c>
      <c r="G46" s="3">
        <v>45876</v>
      </c>
      <c r="H46" s="2" t="s">
        <v>42</v>
      </c>
      <c r="I46" s="2" t="s">
        <v>22</v>
      </c>
      <c r="J46" s="4">
        <v>3.347</v>
      </c>
      <c r="K46" s="6">
        <v>6.76</v>
      </c>
      <c r="L46">
        <v>75311</v>
      </c>
      <c r="M46">
        <v>1.91</v>
      </c>
      <c r="N46">
        <v>97.59</v>
      </c>
      <c r="O46">
        <v>0.5</v>
      </c>
      <c r="P46">
        <v>1724543</v>
      </c>
      <c r="Q46" s="2">
        <v>387</v>
      </c>
      <c r="R46" s="5">
        <v>70.566505432128906</v>
      </c>
      <c r="S46" s="5">
        <v>69.285751342773438</v>
      </c>
    </row>
    <row r="47" spans="1:19">
      <c r="A47" s="2" t="s">
        <v>43</v>
      </c>
      <c r="B47" s="2" t="s">
        <v>19</v>
      </c>
      <c r="C47" s="2">
        <v>6.5</v>
      </c>
      <c r="D47" s="2" t="s">
        <v>20</v>
      </c>
      <c r="E47" s="2">
        <v>1</v>
      </c>
      <c r="F47" s="2" t="s">
        <v>40</v>
      </c>
      <c r="G47" s="7">
        <v>45880</v>
      </c>
      <c r="H47" s="2">
        <f>ROUND((G47-$G$2)/30.5,2)</f>
        <v>0.13</v>
      </c>
      <c r="I47" s="2" t="s">
        <v>22</v>
      </c>
      <c r="J47" s="4">
        <v>3.8519999999999999</v>
      </c>
      <c r="K47" s="6">
        <v>6.42</v>
      </c>
      <c r="L47">
        <v>75442</v>
      </c>
      <c r="M47">
        <v>2.5299999999999998</v>
      </c>
      <c r="N47">
        <v>96.71</v>
      </c>
      <c r="O47">
        <v>0.76</v>
      </c>
      <c r="P47">
        <v>1916887</v>
      </c>
    </row>
    <row r="48" spans="1:19">
      <c r="A48" s="2" t="s">
        <v>44</v>
      </c>
      <c r="B48" s="2" t="s">
        <v>19</v>
      </c>
      <c r="C48" s="2">
        <v>6.5</v>
      </c>
      <c r="D48" s="2" t="s">
        <v>24</v>
      </c>
      <c r="E48" s="2">
        <v>2</v>
      </c>
      <c r="F48" s="2" t="s">
        <v>40</v>
      </c>
      <c r="G48" s="7">
        <v>45880</v>
      </c>
      <c r="H48" s="2">
        <f t="shared" ref="H48:H106" si="0">ROUND((G48-$G$2)/30.5,2)</f>
        <v>0.13</v>
      </c>
      <c r="I48" s="2" t="s">
        <v>22</v>
      </c>
      <c r="J48" s="4">
        <v>3.6150000000000002</v>
      </c>
      <c r="K48" s="6">
        <v>6.36</v>
      </c>
      <c r="L48">
        <v>75447</v>
      </c>
      <c r="M48">
        <v>2.19</v>
      </c>
      <c r="N48">
        <v>97.08</v>
      </c>
      <c r="O48">
        <v>0.73</v>
      </c>
      <c r="P48">
        <v>1799329</v>
      </c>
    </row>
    <row r="49" spans="1:16">
      <c r="A49" s="2" t="s">
        <v>45</v>
      </c>
      <c r="B49" s="2" t="s">
        <v>19</v>
      </c>
      <c r="C49" s="2">
        <v>6.5</v>
      </c>
      <c r="D49" s="2" t="s">
        <v>26</v>
      </c>
      <c r="E49" s="2">
        <v>3</v>
      </c>
      <c r="F49" s="2" t="s">
        <v>40</v>
      </c>
      <c r="G49" s="7">
        <v>45880</v>
      </c>
      <c r="H49" s="2">
        <f t="shared" si="0"/>
        <v>0.13</v>
      </c>
      <c r="I49" s="2" t="s">
        <v>22</v>
      </c>
      <c r="J49" s="4">
        <v>3.6360000000000001</v>
      </c>
      <c r="K49" s="6">
        <v>6.46</v>
      </c>
      <c r="L49">
        <v>75452</v>
      </c>
      <c r="M49">
        <v>2.41</v>
      </c>
      <c r="N49">
        <v>96.52</v>
      </c>
      <c r="O49">
        <v>1.08</v>
      </c>
      <c r="P49">
        <v>1820526</v>
      </c>
    </row>
    <row r="50" spans="1:16">
      <c r="A50" s="2" t="s">
        <v>46</v>
      </c>
      <c r="B50" s="2" t="s">
        <v>19</v>
      </c>
      <c r="C50" s="2">
        <v>7</v>
      </c>
      <c r="D50" s="2" t="s">
        <v>20</v>
      </c>
      <c r="E50" s="2">
        <v>4</v>
      </c>
      <c r="F50" s="2" t="s">
        <v>40</v>
      </c>
      <c r="G50" s="7">
        <v>45880</v>
      </c>
      <c r="H50" s="2">
        <f t="shared" si="0"/>
        <v>0.13</v>
      </c>
      <c r="I50" s="2" t="s">
        <v>22</v>
      </c>
      <c r="J50" s="4">
        <v>3.7440000000000002</v>
      </c>
      <c r="K50" s="6">
        <v>6.85</v>
      </c>
      <c r="L50">
        <v>75457</v>
      </c>
      <c r="M50">
        <v>2.67</v>
      </c>
      <c r="N50">
        <v>96.13</v>
      </c>
      <c r="O50">
        <v>1.2</v>
      </c>
      <c r="P50">
        <v>1875870</v>
      </c>
    </row>
    <row r="51" spans="1:16">
      <c r="A51" s="2" t="s">
        <v>47</v>
      </c>
      <c r="B51" s="2" t="s">
        <v>19</v>
      </c>
      <c r="C51" s="2">
        <v>7</v>
      </c>
      <c r="D51" s="2" t="s">
        <v>24</v>
      </c>
      <c r="E51" s="2">
        <v>5</v>
      </c>
      <c r="F51" s="2" t="s">
        <v>40</v>
      </c>
      <c r="G51" s="7">
        <v>45880</v>
      </c>
      <c r="H51" s="2">
        <f t="shared" si="0"/>
        <v>0.13</v>
      </c>
      <c r="I51" s="2" t="s">
        <v>22</v>
      </c>
      <c r="J51" s="4">
        <v>3.5329999999999999</v>
      </c>
      <c r="K51" s="6">
        <v>6.89</v>
      </c>
      <c r="L51">
        <v>75462</v>
      </c>
      <c r="M51">
        <v>2.27</v>
      </c>
      <c r="N51">
        <v>96.82</v>
      </c>
      <c r="O51">
        <v>0.92</v>
      </c>
      <c r="P51">
        <v>1785565</v>
      </c>
    </row>
    <row r="52" spans="1:16">
      <c r="A52" s="2" t="s">
        <v>48</v>
      </c>
      <c r="B52" s="2" t="s">
        <v>19</v>
      </c>
      <c r="C52" s="2">
        <v>7</v>
      </c>
      <c r="D52" s="2" t="s">
        <v>26</v>
      </c>
      <c r="E52" s="2">
        <v>6</v>
      </c>
      <c r="F52" s="2" t="s">
        <v>40</v>
      </c>
      <c r="G52" s="7">
        <v>45880</v>
      </c>
      <c r="H52" s="2">
        <f t="shared" si="0"/>
        <v>0.13</v>
      </c>
      <c r="I52" s="2" t="s">
        <v>22</v>
      </c>
      <c r="J52" s="4">
        <v>3.59</v>
      </c>
      <c r="K52" s="6">
        <v>6.91</v>
      </c>
      <c r="L52">
        <v>75467</v>
      </c>
      <c r="M52">
        <v>2.54</v>
      </c>
      <c r="N52">
        <v>95.79</v>
      </c>
      <c r="O52">
        <v>1.67</v>
      </c>
      <c r="P52">
        <v>1806519</v>
      </c>
    </row>
    <row r="53" spans="1:16">
      <c r="A53" s="2" t="s">
        <v>49</v>
      </c>
      <c r="B53" s="2" t="s">
        <v>19</v>
      </c>
      <c r="C53" s="2">
        <v>7.5</v>
      </c>
      <c r="D53" s="2" t="s">
        <v>20</v>
      </c>
      <c r="E53" s="2">
        <v>7</v>
      </c>
      <c r="F53" s="2" t="s">
        <v>40</v>
      </c>
      <c r="G53" s="7">
        <v>45880</v>
      </c>
      <c r="H53" s="2">
        <f t="shared" si="0"/>
        <v>0.13</v>
      </c>
      <c r="I53" s="2" t="s">
        <v>22</v>
      </c>
      <c r="J53" s="4">
        <v>3.7120000000000002</v>
      </c>
      <c r="K53" s="6">
        <v>7.3</v>
      </c>
      <c r="L53">
        <v>75472</v>
      </c>
      <c r="M53">
        <v>2.82</v>
      </c>
      <c r="N53">
        <v>95.38</v>
      </c>
      <c r="O53">
        <v>1.8</v>
      </c>
      <c r="P53">
        <v>1887063</v>
      </c>
    </row>
    <row r="54" spans="1:16">
      <c r="A54" s="2" t="s">
        <v>50</v>
      </c>
      <c r="B54" s="2" t="s">
        <v>19</v>
      </c>
      <c r="C54" s="2">
        <v>7.5</v>
      </c>
      <c r="D54" s="2" t="s">
        <v>24</v>
      </c>
      <c r="E54" s="2">
        <v>8</v>
      </c>
      <c r="F54" s="2" t="s">
        <v>40</v>
      </c>
      <c r="G54" s="7">
        <v>45880</v>
      </c>
      <c r="H54" s="2">
        <f t="shared" si="0"/>
        <v>0.13</v>
      </c>
      <c r="I54" s="2" t="s">
        <v>22</v>
      </c>
      <c r="J54" s="4">
        <v>3.423</v>
      </c>
      <c r="K54" s="6">
        <v>7.38</v>
      </c>
      <c r="L54">
        <v>75477</v>
      </c>
      <c r="M54">
        <v>2.4</v>
      </c>
      <c r="N54">
        <v>96.22</v>
      </c>
      <c r="O54">
        <v>1.38</v>
      </c>
      <c r="P54">
        <v>1735803</v>
      </c>
    </row>
    <row r="55" spans="1:16">
      <c r="A55" s="2" t="s">
        <v>51</v>
      </c>
      <c r="B55" s="2" t="s">
        <v>19</v>
      </c>
      <c r="C55" s="2">
        <v>7.5</v>
      </c>
      <c r="D55" s="2" t="s">
        <v>26</v>
      </c>
      <c r="E55" s="2">
        <v>9</v>
      </c>
      <c r="F55" s="2" t="s">
        <v>40</v>
      </c>
      <c r="G55" s="7">
        <v>45880</v>
      </c>
      <c r="H55" s="2">
        <f t="shared" si="0"/>
        <v>0.13</v>
      </c>
      <c r="I55" s="2" t="s">
        <v>22</v>
      </c>
      <c r="J55" s="4">
        <v>3.613</v>
      </c>
      <c r="K55" s="6">
        <v>7.32</v>
      </c>
      <c r="L55">
        <v>75492</v>
      </c>
      <c r="M55">
        <v>2.64</v>
      </c>
      <c r="N55">
        <v>95.13</v>
      </c>
      <c r="O55">
        <v>2.23</v>
      </c>
      <c r="P55">
        <v>1837366</v>
      </c>
    </row>
    <row r="56" spans="1:16">
      <c r="A56" s="2" t="s">
        <v>52</v>
      </c>
      <c r="B56" s="2" t="s">
        <v>34</v>
      </c>
      <c r="C56" s="2">
        <v>6.2</v>
      </c>
      <c r="D56" s="2" t="s">
        <v>20</v>
      </c>
      <c r="E56" s="2">
        <v>10</v>
      </c>
      <c r="F56" s="2" t="s">
        <v>40</v>
      </c>
      <c r="G56" s="7">
        <v>45880</v>
      </c>
      <c r="H56" s="2">
        <f t="shared" si="0"/>
        <v>0.13</v>
      </c>
      <c r="I56" s="2" t="s">
        <v>22</v>
      </c>
      <c r="J56" s="4">
        <v>3.7389999999999999</v>
      </c>
      <c r="K56" s="6">
        <v>6.09</v>
      </c>
      <c r="L56">
        <v>75497</v>
      </c>
      <c r="M56">
        <v>2.27</v>
      </c>
      <c r="N56">
        <v>97.06</v>
      </c>
      <c r="O56">
        <v>0.67</v>
      </c>
      <c r="P56">
        <v>1929969</v>
      </c>
    </row>
    <row r="57" spans="1:16">
      <c r="A57" s="2" t="s">
        <v>53</v>
      </c>
      <c r="B57" s="2" t="s">
        <v>34</v>
      </c>
      <c r="C57" s="2">
        <v>6.2</v>
      </c>
      <c r="D57" s="2" t="s">
        <v>24</v>
      </c>
      <c r="E57" s="2">
        <v>11</v>
      </c>
      <c r="F57" s="2" t="s">
        <v>40</v>
      </c>
      <c r="G57" s="7">
        <v>45880</v>
      </c>
      <c r="H57" s="2">
        <f t="shared" si="0"/>
        <v>0.13</v>
      </c>
      <c r="I57" s="2" t="s">
        <v>22</v>
      </c>
      <c r="J57" s="4">
        <v>3.3690000000000002</v>
      </c>
      <c r="K57" s="6">
        <v>6.2</v>
      </c>
      <c r="L57">
        <v>75502</v>
      </c>
      <c r="M57">
        <v>2.1</v>
      </c>
      <c r="N57">
        <v>97.24</v>
      </c>
      <c r="O57">
        <v>0.67</v>
      </c>
      <c r="P57">
        <v>1730262</v>
      </c>
    </row>
    <row r="58" spans="1:16">
      <c r="A58" s="2" t="s">
        <v>54</v>
      </c>
      <c r="B58" s="2" t="s">
        <v>34</v>
      </c>
      <c r="C58" s="2">
        <v>6.2</v>
      </c>
      <c r="D58" s="2" t="s">
        <v>26</v>
      </c>
      <c r="E58" s="2">
        <v>12</v>
      </c>
      <c r="F58" s="2" t="s">
        <v>40</v>
      </c>
      <c r="G58" s="7">
        <v>45880</v>
      </c>
      <c r="H58" s="2">
        <f t="shared" si="0"/>
        <v>0.13</v>
      </c>
      <c r="I58" s="2" t="s">
        <v>22</v>
      </c>
      <c r="J58" s="4">
        <v>3.2509999999999999</v>
      </c>
      <c r="K58" s="6">
        <v>6.16</v>
      </c>
      <c r="L58">
        <v>75507</v>
      </c>
      <c r="M58">
        <v>2.17</v>
      </c>
      <c r="N58">
        <v>97.13</v>
      </c>
      <c r="O58">
        <v>0.7</v>
      </c>
      <c r="P58">
        <v>1673057</v>
      </c>
    </row>
    <row r="59" spans="1:16">
      <c r="A59" s="2" t="s">
        <v>55</v>
      </c>
      <c r="B59" s="2" t="s">
        <v>34</v>
      </c>
      <c r="C59" s="2">
        <v>6.8</v>
      </c>
      <c r="D59" s="2" t="s">
        <v>20</v>
      </c>
      <c r="E59" s="2">
        <v>13</v>
      </c>
      <c r="F59" s="2" t="s">
        <v>40</v>
      </c>
      <c r="G59" s="7">
        <v>45880</v>
      </c>
      <c r="H59" s="2">
        <f t="shared" si="0"/>
        <v>0.13</v>
      </c>
      <c r="I59" s="2" t="s">
        <v>22</v>
      </c>
      <c r="J59" s="4">
        <v>3.5630000000000002</v>
      </c>
      <c r="K59" s="6">
        <v>6.73</v>
      </c>
      <c r="L59">
        <v>75512</v>
      </c>
      <c r="M59">
        <v>2.41</v>
      </c>
      <c r="N59">
        <v>96.86</v>
      </c>
      <c r="O59">
        <v>0.73</v>
      </c>
      <c r="P59">
        <v>1823839</v>
      </c>
    </row>
    <row r="60" spans="1:16">
      <c r="A60" s="2" t="s">
        <v>56</v>
      </c>
      <c r="B60" s="2" t="s">
        <v>34</v>
      </c>
      <c r="C60" s="2">
        <v>6.8</v>
      </c>
      <c r="D60" s="2" t="s">
        <v>24</v>
      </c>
      <c r="E60" s="2">
        <v>14</v>
      </c>
      <c r="F60" s="2" t="s">
        <v>40</v>
      </c>
      <c r="G60" s="7">
        <v>45880</v>
      </c>
      <c r="H60" s="2">
        <f t="shared" si="0"/>
        <v>0.13</v>
      </c>
      <c r="I60" s="2" t="s">
        <v>22</v>
      </c>
      <c r="J60" s="4">
        <v>3.22</v>
      </c>
      <c r="K60" s="6">
        <v>6.79</v>
      </c>
      <c r="L60">
        <v>75517</v>
      </c>
      <c r="M60">
        <v>2.1800000000000002</v>
      </c>
      <c r="N60">
        <v>97.01</v>
      </c>
      <c r="O60">
        <v>0.81</v>
      </c>
      <c r="P60">
        <v>1647529</v>
      </c>
    </row>
    <row r="61" spans="1:16">
      <c r="A61" s="2" t="s">
        <v>57</v>
      </c>
      <c r="B61" s="2" t="s">
        <v>34</v>
      </c>
      <c r="C61" s="2">
        <v>6.8</v>
      </c>
      <c r="D61" s="2" t="s">
        <v>26</v>
      </c>
      <c r="E61" s="2">
        <v>15</v>
      </c>
      <c r="F61" s="2" t="s">
        <v>40</v>
      </c>
      <c r="G61" s="7">
        <v>45880</v>
      </c>
      <c r="H61" s="2">
        <f t="shared" si="0"/>
        <v>0.13</v>
      </c>
      <c r="I61" s="2" t="s">
        <v>22</v>
      </c>
      <c r="J61" s="4">
        <v>3.3490000000000002</v>
      </c>
      <c r="K61" s="6">
        <v>6.79</v>
      </c>
      <c r="L61">
        <v>75522</v>
      </c>
      <c r="M61">
        <v>2.2599999999999998</v>
      </c>
      <c r="N61">
        <v>97</v>
      </c>
      <c r="O61">
        <v>0.74</v>
      </c>
      <c r="P61">
        <v>1731306</v>
      </c>
    </row>
    <row r="62" spans="1:16">
      <c r="A62" s="2" t="s">
        <v>58</v>
      </c>
      <c r="B62" s="2" t="s">
        <v>19</v>
      </c>
      <c r="C62" s="2">
        <v>6.5</v>
      </c>
      <c r="D62" s="2" t="s">
        <v>20</v>
      </c>
      <c r="E62" s="2">
        <v>1</v>
      </c>
      <c r="F62" s="2" t="s">
        <v>21</v>
      </c>
      <c r="G62" s="7">
        <v>45883</v>
      </c>
      <c r="H62" s="2">
        <f t="shared" si="0"/>
        <v>0.23</v>
      </c>
      <c r="I62" s="2" t="s">
        <v>22</v>
      </c>
      <c r="J62" s="4">
        <v>3.8340000000000001</v>
      </c>
      <c r="K62" s="6">
        <v>6.37</v>
      </c>
      <c r="L62">
        <v>75799</v>
      </c>
      <c r="M62">
        <v>2.2200000000000002</v>
      </c>
      <c r="N62">
        <v>97.32</v>
      </c>
      <c r="O62">
        <v>0.45</v>
      </c>
      <c r="P62">
        <v>1919907</v>
      </c>
    </row>
    <row r="63" spans="1:16">
      <c r="A63" s="2" t="s">
        <v>59</v>
      </c>
      <c r="B63" s="2" t="s">
        <v>19</v>
      </c>
      <c r="C63" s="2">
        <v>6.5</v>
      </c>
      <c r="D63" s="2" t="s">
        <v>24</v>
      </c>
      <c r="E63" s="2">
        <v>2</v>
      </c>
      <c r="F63" s="2" t="s">
        <v>21</v>
      </c>
      <c r="G63" s="7">
        <v>45883</v>
      </c>
      <c r="H63" s="2">
        <f t="shared" si="0"/>
        <v>0.23</v>
      </c>
      <c r="I63" s="2" t="s">
        <v>22</v>
      </c>
      <c r="J63" s="4">
        <v>3.5950000000000002</v>
      </c>
      <c r="K63" s="6">
        <v>6.38</v>
      </c>
      <c r="L63">
        <v>75804</v>
      </c>
      <c r="M63">
        <v>1.99</v>
      </c>
      <c r="N63">
        <v>97.63</v>
      </c>
      <c r="O63">
        <v>0.38</v>
      </c>
      <c r="P63">
        <v>1802400</v>
      </c>
    </row>
    <row r="64" spans="1:16">
      <c r="A64" s="2" t="s">
        <v>60</v>
      </c>
      <c r="B64" s="2" t="s">
        <v>19</v>
      </c>
      <c r="C64" s="2">
        <v>6.5</v>
      </c>
      <c r="D64" s="2" t="s">
        <v>26</v>
      </c>
      <c r="E64" s="2">
        <v>3</v>
      </c>
      <c r="F64" s="2" t="s">
        <v>21</v>
      </c>
      <c r="G64" s="7">
        <v>45883</v>
      </c>
      <c r="H64" s="2">
        <f t="shared" si="0"/>
        <v>0.23</v>
      </c>
      <c r="I64" s="2" t="s">
        <v>22</v>
      </c>
      <c r="J64" s="4">
        <v>3.6059999999999999</v>
      </c>
      <c r="K64" s="6">
        <v>6.46</v>
      </c>
      <c r="L64">
        <v>75809</v>
      </c>
      <c r="M64">
        <v>2.14</v>
      </c>
      <c r="N64">
        <v>97.33</v>
      </c>
      <c r="O64">
        <v>0.53</v>
      </c>
      <c r="P64">
        <v>1831976</v>
      </c>
    </row>
    <row r="65" spans="1:16">
      <c r="A65" s="2" t="s">
        <v>61</v>
      </c>
      <c r="B65" s="2" t="s">
        <v>19</v>
      </c>
      <c r="C65" s="2">
        <v>7</v>
      </c>
      <c r="D65" s="2" t="s">
        <v>20</v>
      </c>
      <c r="E65" s="2">
        <v>4</v>
      </c>
      <c r="F65" s="2" t="s">
        <v>21</v>
      </c>
      <c r="G65" s="7">
        <v>45883</v>
      </c>
      <c r="H65" s="2">
        <f t="shared" si="0"/>
        <v>0.23</v>
      </c>
      <c r="I65" s="2" t="s">
        <v>22</v>
      </c>
      <c r="J65" s="4">
        <v>3.71</v>
      </c>
      <c r="K65" s="6">
        <v>6.86</v>
      </c>
      <c r="L65">
        <v>75814</v>
      </c>
      <c r="M65">
        <v>2.19</v>
      </c>
      <c r="N65">
        <v>97.33</v>
      </c>
      <c r="O65">
        <v>0.48</v>
      </c>
      <c r="P65">
        <v>1885757</v>
      </c>
    </row>
    <row r="66" spans="1:16">
      <c r="A66" s="2" t="s">
        <v>62</v>
      </c>
      <c r="B66" s="2" t="s">
        <v>19</v>
      </c>
      <c r="C66" s="2">
        <v>7</v>
      </c>
      <c r="D66" s="2" t="s">
        <v>24</v>
      </c>
      <c r="E66" s="2">
        <v>5</v>
      </c>
      <c r="F66" s="2" t="s">
        <v>21</v>
      </c>
      <c r="G66" s="7">
        <v>45883</v>
      </c>
      <c r="H66" s="2">
        <f t="shared" si="0"/>
        <v>0.23</v>
      </c>
      <c r="I66" s="2" t="s">
        <v>22</v>
      </c>
      <c r="J66" s="4">
        <v>3.56</v>
      </c>
      <c r="K66" s="6">
        <v>6.87</v>
      </c>
      <c r="L66">
        <v>75819</v>
      </c>
      <c r="M66">
        <v>2.0499999999999998</v>
      </c>
      <c r="N66">
        <v>97.45</v>
      </c>
      <c r="O66">
        <v>0.5</v>
      </c>
      <c r="P66">
        <v>1800474</v>
      </c>
    </row>
    <row r="67" spans="1:16">
      <c r="A67" s="2" t="s">
        <v>63</v>
      </c>
      <c r="B67" s="2" t="s">
        <v>19</v>
      </c>
      <c r="C67" s="2">
        <v>7</v>
      </c>
      <c r="D67" s="2" t="s">
        <v>26</v>
      </c>
      <c r="E67" s="2">
        <v>6</v>
      </c>
      <c r="F67" s="2" t="s">
        <v>21</v>
      </c>
      <c r="G67" s="7">
        <v>45883</v>
      </c>
      <c r="H67" s="2">
        <f t="shared" si="0"/>
        <v>0.23</v>
      </c>
      <c r="I67" s="2" t="s">
        <v>22</v>
      </c>
      <c r="J67" s="4">
        <v>3.59</v>
      </c>
      <c r="K67" s="6">
        <v>6.91</v>
      </c>
      <c r="L67">
        <v>75824</v>
      </c>
      <c r="M67">
        <v>2.17</v>
      </c>
      <c r="N67">
        <v>97.3</v>
      </c>
      <c r="O67">
        <v>0.52</v>
      </c>
      <c r="P67">
        <v>1817683</v>
      </c>
    </row>
    <row r="68" spans="1:16">
      <c r="A68" s="2" t="s">
        <v>64</v>
      </c>
      <c r="B68" s="2" t="s">
        <v>19</v>
      </c>
      <c r="C68" s="2">
        <v>7.5</v>
      </c>
      <c r="D68" s="2" t="s">
        <v>20</v>
      </c>
      <c r="E68" s="2">
        <v>7</v>
      </c>
      <c r="F68" s="2" t="s">
        <v>21</v>
      </c>
      <c r="G68" s="7">
        <v>45883</v>
      </c>
      <c r="H68" s="2">
        <f t="shared" si="0"/>
        <v>0.23</v>
      </c>
      <c r="I68" s="2" t="s">
        <v>22</v>
      </c>
      <c r="J68" s="4">
        <v>3.746</v>
      </c>
      <c r="K68" s="6">
        <v>7.3</v>
      </c>
      <c r="L68">
        <v>75829</v>
      </c>
      <c r="M68">
        <v>2.36</v>
      </c>
      <c r="N68">
        <v>97</v>
      </c>
      <c r="O68">
        <v>0.64</v>
      </c>
      <c r="P68">
        <v>1909343</v>
      </c>
    </row>
    <row r="69" spans="1:16">
      <c r="A69" s="2" t="s">
        <v>65</v>
      </c>
      <c r="B69" s="2" t="s">
        <v>19</v>
      </c>
      <c r="C69" s="2">
        <v>7.5</v>
      </c>
      <c r="D69" s="2" t="s">
        <v>24</v>
      </c>
      <c r="E69" s="2">
        <v>8</v>
      </c>
      <c r="F69" s="2" t="s">
        <v>21</v>
      </c>
      <c r="G69" s="7">
        <v>45883</v>
      </c>
      <c r="H69" s="2">
        <f t="shared" si="0"/>
        <v>0.23</v>
      </c>
      <c r="I69" s="2" t="s">
        <v>22</v>
      </c>
      <c r="J69" s="4">
        <v>3.41</v>
      </c>
      <c r="K69" s="6">
        <v>7.41</v>
      </c>
      <c r="L69">
        <v>75845</v>
      </c>
      <c r="M69">
        <v>2.16</v>
      </c>
      <c r="N69">
        <v>97.21</v>
      </c>
      <c r="O69">
        <v>0.63</v>
      </c>
      <c r="P69">
        <v>1738436</v>
      </c>
    </row>
    <row r="70" spans="1:16">
      <c r="A70" s="2" t="s">
        <v>66</v>
      </c>
      <c r="B70" s="2" t="s">
        <v>19</v>
      </c>
      <c r="C70" s="2">
        <v>7.5</v>
      </c>
      <c r="D70" s="2" t="s">
        <v>26</v>
      </c>
      <c r="E70" s="2">
        <v>9</v>
      </c>
      <c r="F70" s="2" t="s">
        <v>21</v>
      </c>
      <c r="G70" s="7">
        <v>45883</v>
      </c>
      <c r="H70" s="2">
        <f t="shared" si="0"/>
        <v>0.23</v>
      </c>
      <c r="I70" s="2" t="s">
        <v>67</v>
      </c>
      <c r="J70" s="4">
        <v>3.6040000000000001</v>
      </c>
      <c r="K70" s="6">
        <v>7.32</v>
      </c>
      <c r="L70">
        <v>75868</v>
      </c>
      <c r="M70">
        <v>2.25</v>
      </c>
      <c r="N70">
        <v>97.13</v>
      </c>
      <c r="O70">
        <v>0.62</v>
      </c>
      <c r="P70">
        <v>1840847</v>
      </c>
    </row>
    <row r="71" spans="1:16">
      <c r="A71" s="2" t="s">
        <v>68</v>
      </c>
      <c r="B71" s="2" t="s">
        <v>34</v>
      </c>
      <c r="C71" s="2">
        <v>6.2</v>
      </c>
      <c r="D71" s="2" t="s">
        <v>20</v>
      </c>
      <c r="E71" s="2">
        <v>10</v>
      </c>
      <c r="F71" s="2" t="s">
        <v>21</v>
      </c>
      <c r="G71" s="7">
        <v>45883</v>
      </c>
      <c r="H71" s="2">
        <f t="shared" si="0"/>
        <v>0.23</v>
      </c>
      <c r="I71" s="2" t="s">
        <v>22</v>
      </c>
      <c r="J71" s="4">
        <v>3.7290000000000001</v>
      </c>
      <c r="K71" s="6">
        <v>6.1</v>
      </c>
      <c r="L71">
        <v>75873</v>
      </c>
      <c r="M71">
        <v>2.06</v>
      </c>
      <c r="N71">
        <v>97.49</v>
      </c>
      <c r="O71">
        <v>0.45</v>
      </c>
      <c r="P71">
        <v>1926661</v>
      </c>
    </row>
    <row r="72" spans="1:16">
      <c r="A72" s="2" t="s">
        <v>69</v>
      </c>
      <c r="B72" s="2" t="s">
        <v>34</v>
      </c>
      <c r="C72" s="2">
        <v>6.2</v>
      </c>
      <c r="D72" s="2" t="s">
        <v>24</v>
      </c>
      <c r="E72" s="2">
        <v>11</v>
      </c>
      <c r="F72" s="2" t="s">
        <v>21</v>
      </c>
      <c r="G72" s="7">
        <v>45883</v>
      </c>
      <c r="H72" s="2">
        <f t="shared" si="0"/>
        <v>0.23</v>
      </c>
      <c r="I72" s="2" t="s">
        <v>22</v>
      </c>
      <c r="J72" s="4">
        <v>3.3439999999999999</v>
      </c>
      <c r="K72" s="6">
        <v>6.19</v>
      </c>
      <c r="L72">
        <v>75878</v>
      </c>
      <c r="M72">
        <v>1.97</v>
      </c>
      <c r="N72">
        <v>97.5</v>
      </c>
      <c r="O72">
        <v>0.54</v>
      </c>
      <c r="P72">
        <v>1739526</v>
      </c>
    </row>
    <row r="73" spans="1:16">
      <c r="A73" s="2" t="s">
        <v>70</v>
      </c>
      <c r="B73" s="2" t="s">
        <v>34</v>
      </c>
      <c r="C73" s="2">
        <v>6.2</v>
      </c>
      <c r="D73" s="2" t="s">
        <v>26</v>
      </c>
      <c r="E73" s="2">
        <v>12</v>
      </c>
      <c r="F73" s="2" t="s">
        <v>21</v>
      </c>
      <c r="G73" s="7">
        <v>45883</v>
      </c>
      <c r="H73" s="2">
        <f t="shared" si="0"/>
        <v>0.23</v>
      </c>
      <c r="I73" s="2" t="s">
        <v>22</v>
      </c>
      <c r="J73" s="4">
        <v>3.2360000000000002</v>
      </c>
      <c r="K73" s="6">
        <v>6.16</v>
      </c>
      <c r="L73">
        <v>75883</v>
      </c>
      <c r="M73">
        <v>2.02</v>
      </c>
      <c r="N73">
        <v>97.47</v>
      </c>
      <c r="O73">
        <v>0.51</v>
      </c>
      <c r="P73">
        <v>1680240</v>
      </c>
    </row>
    <row r="74" spans="1:16">
      <c r="A74" s="2" t="s">
        <v>71</v>
      </c>
      <c r="B74" s="2" t="s">
        <v>34</v>
      </c>
      <c r="C74" s="2">
        <v>6.8</v>
      </c>
      <c r="D74" s="2" t="s">
        <v>20</v>
      </c>
      <c r="E74" s="2">
        <v>13</v>
      </c>
      <c r="F74" s="2" t="s">
        <v>21</v>
      </c>
      <c r="G74" s="7">
        <v>45883</v>
      </c>
      <c r="H74" s="2">
        <f t="shared" si="0"/>
        <v>0.23</v>
      </c>
      <c r="I74" s="2" t="s">
        <v>22</v>
      </c>
      <c r="J74" s="4">
        <v>3.5609999999999999</v>
      </c>
      <c r="K74" s="6">
        <v>6.71</v>
      </c>
      <c r="L74">
        <v>75888</v>
      </c>
      <c r="M74">
        <v>2.15</v>
      </c>
      <c r="N74">
        <v>97.39</v>
      </c>
      <c r="O74">
        <v>0.46</v>
      </c>
      <c r="P74">
        <v>1846774</v>
      </c>
    </row>
    <row r="75" spans="1:16">
      <c r="A75" s="2" t="s">
        <v>72</v>
      </c>
      <c r="B75" s="2" t="s">
        <v>34</v>
      </c>
      <c r="C75" s="2">
        <v>6.8</v>
      </c>
      <c r="D75" s="2" t="s">
        <v>24</v>
      </c>
      <c r="E75" s="2">
        <v>14</v>
      </c>
      <c r="F75" s="2" t="s">
        <v>21</v>
      </c>
      <c r="G75" s="7">
        <v>45883</v>
      </c>
      <c r="H75" s="2">
        <f t="shared" si="0"/>
        <v>0.23</v>
      </c>
      <c r="I75" s="2" t="s">
        <v>22</v>
      </c>
      <c r="J75" s="4">
        <v>3.2210000000000001</v>
      </c>
      <c r="K75" s="6">
        <v>6.79</v>
      </c>
      <c r="L75">
        <v>75894</v>
      </c>
      <c r="M75">
        <v>2.1</v>
      </c>
      <c r="N75">
        <v>97.39</v>
      </c>
      <c r="O75">
        <v>0.51</v>
      </c>
      <c r="P75">
        <v>1543208</v>
      </c>
    </row>
    <row r="76" spans="1:16">
      <c r="A76" s="2" t="s">
        <v>73</v>
      </c>
      <c r="B76" s="2" t="s">
        <v>34</v>
      </c>
      <c r="C76" s="2">
        <v>6.8</v>
      </c>
      <c r="D76" s="2" t="s">
        <v>26</v>
      </c>
      <c r="E76" s="2">
        <v>15</v>
      </c>
      <c r="F76" s="2" t="s">
        <v>21</v>
      </c>
      <c r="G76" s="7">
        <v>45883</v>
      </c>
      <c r="H76" s="2">
        <f t="shared" si="0"/>
        <v>0.23</v>
      </c>
      <c r="I76" s="2" t="s">
        <v>22</v>
      </c>
      <c r="J76" s="4">
        <v>3.3340000000000001</v>
      </c>
      <c r="K76" s="6">
        <v>6.7</v>
      </c>
      <c r="L76">
        <v>75899</v>
      </c>
      <c r="M76">
        <v>2.11</v>
      </c>
      <c r="N76">
        <v>97.34</v>
      </c>
      <c r="O76">
        <v>0.55000000000000004</v>
      </c>
      <c r="P76">
        <v>1699110</v>
      </c>
    </row>
    <row r="77" spans="1:16">
      <c r="A77" s="2" t="s">
        <v>74</v>
      </c>
      <c r="B77" s="2" t="s">
        <v>19</v>
      </c>
      <c r="C77" s="2">
        <v>6.5</v>
      </c>
      <c r="D77" s="2" t="s">
        <v>20</v>
      </c>
      <c r="E77" s="2">
        <v>1</v>
      </c>
      <c r="F77" s="2" t="s">
        <v>40</v>
      </c>
      <c r="G77" s="7">
        <v>45883</v>
      </c>
      <c r="H77" s="2">
        <f t="shared" si="0"/>
        <v>0.23</v>
      </c>
      <c r="I77" s="2" t="s">
        <v>22</v>
      </c>
      <c r="J77" s="4">
        <v>3.86</v>
      </c>
      <c r="K77" s="6">
        <v>6.41</v>
      </c>
      <c r="L77">
        <v>75914</v>
      </c>
      <c r="M77">
        <v>2.54</v>
      </c>
      <c r="N77">
        <v>96.18</v>
      </c>
      <c r="O77">
        <v>1.28</v>
      </c>
      <c r="P77">
        <v>2002208</v>
      </c>
    </row>
    <row r="78" spans="1:16">
      <c r="A78" s="2" t="s">
        <v>75</v>
      </c>
      <c r="B78" s="2" t="s">
        <v>19</v>
      </c>
      <c r="C78" s="2">
        <v>6.5</v>
      </c>
      <c r="D78" s="2" t="s">
        <v>24</v>
      </c>
      <c r="E78" s="2">
        <v>2</v>
      </c>
      <c r="F78" s="2" t="s">
        <v>40</v>
      </c>
      <c r="G78" s="7">
        <v>45883</v>
      </c>
      <c r="H78" s="2">
        <f t="shared" si="0"/>
        <v>0.23</v>
      </c>
      <c r="I78" s="2" t="s">
        <v>22</v>
      </c>
      <c r="J78" s="4">
        <v>3.5950000000000002</v>
      </c>
      <c r="K78" s="6">
        <v>6.38</v>
      </c>
      <c r="L78">
        <v>75919</v>
      </c>
      <c r="M78">
        <v>2.23</v>
      </c>
      <c r="N78">
        <v>96.78</v>
      </c>
      <c r="O78">
        <v>0.99</v>
      </c>
      <c r="P78">
        <v>1854006</v>
      </c>
    </row>
    <row r="79" spans="1:16">
      <c r="A79" s="2" t="s">
        <v>76</v>
      </c>
      <c r="B79" s="2" t="s">
        <v>19</v>
      </c>
      <c r="C79" s="2">
        <v>6.5</v>
      </c>
      <c r="D79" s="2" t="s">
        <v>26</v>
      </c>
      <c r="E79" s="2">
        <v>3</v>
      </c>
      <c r="F79" s="2" t="s">
        <v>40</v>
      </c>
      <c r="G79" s="7">
        <v>45883</v>
      </c>
      <c r="H79" s="2">
        <f t="shared" si="0"/>
        <v>0.23</v>
      </c>
      <c r="I79" s="2" t="s">
        <v>22</v>
      </c>
      <c r="J79" s="4">
        <v>3.6339999999999999</v>
      </c>
      <c r="K79" s="6">
        <v>6.48</v>
      </c>
      <c r="L79">
        <v>75924</v>
      </c>
      <c r="M79">
        <v>2.38</v>
      </c>
      <c r="N79">
        <v>95.93</v>
      </c>
      <c r="O79">
        <v>1.68</v>
      </c>
      <c r="P79">
        <v>1899246</v>
      </c>
    </row>
    <row r="80" spans="1:16">
      <c r="A80" s="2" t="s">
        <v>77</v>
      </c>
      <c r="B80" s="2" t="s">
        <v>19</v>
      </c>
      <c r="C80" s="2">
        <v>7</v>
      </c>
      <c r="D80" s="2" t="s">
        <v>20</v>
      </c>
      <c r="E80" s="2">
        <v>4</v>
      </c>
      <c r="F80" s="2" t="s">
        <v>40</v>
      </c>
      <c r="G80" s="7">
        <v>45883</v>
      </c>
      <c r="H80" s="2">
        <f t="shared" si="0"/>
        <v>0.23</v>
      </c>
      <c r="I80" s="2" t="s">
        <v>22</v>
      </c>
      <c r="J80" s="4">
        <v>3.6880000000000002</v>
      </c>
      <c r="K80" s="6">
        <v>6.89</v>
      </c>
      <c r="L80">
        <v>75929</v>
      </c>
      <c r="M80">
        <v>1.62</v>
      </c>
      <c r="N80">
        <v>94.58</v>
      </c>
      <c r="O80">
        <v>3.8</v>
      </c>
      <c r="P80">
        <v>1917606</v>
      </c>
    </row>
    <row r="81" spans="1:19">
      <c r="A81" s="2" t="s">
        <v>78</v>
      </c>
      <c r="B81" s="2" t="s">
        <v>19</v>
      </c>
      <c r="C81" s="2">
        <v>7</v>
      </c>
      <c r="D81" s="2" t="s">
        <v>24</v>
      </c>
      <c r="E81" s="2">
        <v>5</v>
      </c>
      <c r="F81" s="2" t="s">
        <v>40</v>
      </c>
      <c r="G81" s="7">
        <v>45883</v>
      </c>
      <c r="H81" s="2">
        <f t="shared" si="0"/>
        <v>0.23</v>
      </c>
      <c r="I81" s="2" t="s">
        <v>22</v>
      </c>
      <c r="J81" s="4">
        <v>3.5609999999999999</v>
      </c>
      <c r="K81" s="6">
        <v>6.89</v>
      </c>
      <c r="L81">
        <v>75934</v>
      </c>
      <c r="M81">
        <v>2.4300000000000002</v>
      </c>
      <c r="N81">
        <v>96.11</v>
      </c>
      <c r="O81">
        <v>1.46</v>
      </c>
      <c r="P81">
        <v>1861976</v>
      </c>
    </row>
    <row r="82" spans="1:19">
      <c r="A82" s="2" t="s">
        <v>79</v>
      </c>
      <c r="B82" s="2" t="s">
        <v>19</v>
      </c>
      <c r="C82" s="2">
        <v>7</v>
      </c>
      <c r="D82" s="2" t="s">
        <v>26</v>
      </c>
      <c r="E82" s="2">
        <v>6</v>
      </c>
      <c r="F82" s="2" t="s">
        <v>40</v>
      </c>
      <c r="G82" s="7">
        <v>45883</v>
      </c>
      <c r="H82" s="2">
        <f t="shared" si="0"/>
        <v>0.23</v>
      </c>
      <c r="I82" s="2" t="s">
        <v>22</v>
      </c>
      <c r="J82" s="4">
        <v>3.488</v>
      </c>
      <c r="K82" s="6">
        <v>6.92</v>
      </c>
      <c r="L82">
        <v>75939</v>
      </c>
      <c r="M82">
        <v>2.4700000000000002</v>
      </c>
      <c r="N82">
        <v>94.89</v>
      </c>
      <c r="O82">
        <v>2.63</v>
      </c>
      <c r="P82">
        <v>1872978</v>
      </c>
    </row>
    <row r="83" spans="1:19">
      <c r="A83" s="2" t="s">
        <v>80</v>
      </c>
      <c r="B83" s="2" t="s">
        <v>19</v>
      </c>
      <c r="C83" s="2">
        <v>7.5</v>
      </c>
      <c r="D83" s="2" t="s">
        <v>20</v>
      </c>
      <c r="E83" s="2">
        <v>7</v>
      </c>
      <c r="F83" s="2" t="s">
        <v>40</v>
      </c>
      <c r="G83" s="7">
        <v>45883</v>
      </c>
      <c r="H83" s="2">
        <f t="shared" si="0"/>
        <v>0.23</v>
      </c>
      <c r="I83" s="2" t="s">
        <v>22</v>
      </c>
      <c r="J83" s="4">
        <v>3.758</v>
      </c>
      <c r="K83" s="6">
        <v>7.3</v>
      </c>
      <c r="L83">
        <v>75944</v>
      </c>
      <c r="M83">
        <v>2.72</v>
      </c>
      <c r="N83">
        <v>94.13</v>
      </c>
      <c r="O83">
        <v>3.15</v>
      </c>
      <c r="P83">
        <v>1988974</v>
      </c>
    </row>
    <row r="84" spans="1:19">
      <c r="A84" s="2" t="s">
        <v>81</v>
      </c>
      <c r="B84" s="2" t="s">
        <v>19</v>
      </c>
      <c r="C84" s="2">
        <v>7.5</v>
      </c>
      <c r="D84" s="2" t="s">
        <v>24</v>
      </c>
      <c r="E84" s="2">
        <v>8</v>
      </c>
      <c r="F84" s="2" t="s">
        <v>40</v>
      </c>
      <c r="G84" s="7">
        <v>45883</v>
      </c>
      <c r="H84" s="2">
        <f t="shared" si="0"/>
        <v>0.23</v>
      </c>
      <c r="I84" s="2" t="s">
        <v>22</v>
      </c>
      <c r="J84" s="4">
        <v>3.4329999999999998</v>
      </c>
      <c r="K84" s="6">
        <v>7.42</v>
      </c>
      <c r="L84">
        <v>75949</v>
      </c>
      <c r="M84">
        <v>2.46</v>
      </c>
      <c r="N84">
        <v>95.19</v>
      </c>
      <c r="O84">
        <v>2.35</v>
      </c>
      <c r="P84">
        <v>1818955</v>
      </c>
    </row>
    <row r="85" spans="1:19">
      <c r="A85" s="2" t="s">
        <v>82</v>
      </c>
      <c r="B85" s="2" t="s">
        <v>19</v>
      </c>
      <c r="C85" s="2">
        <v>7.5</v>
      </c>
      <c r="D85" s="2" t="s">
        <v>26</v>
      </c>
      <c r="E85" s="2">
        <v>9</v>
      </c>
      <c r="F85" s="2" t="s">
        <v>40</v>
      </c>
      <c r="G85" s="7">
        <v>45883</v>
      </c>
      <c r="H85" s="2">
        <f t="shared" si="0"/>
        <v>0.23</v>
      </c>
      <c r="I85" s="2" t="s">
        <v>22</v>
      </c>
      <c r="J85" s="4">
        <v>3.6</v>
      </c>
      <c r="K85" s="6">
        <v>7.32</v>
      </c>
      <c r="L85">
        <v>75964</v>
      </c>
      <c r="M85">
        <v>2.44</v>
      </c>
      <c r="N85">
        <v>93.69</v>
      </c>
      <c r="O85">
        <v>3.88</v>
      </c>
      <c r="P85">
        <v>1893063</v>
      </c>
    </row>
    <row r="86" spans="1:19">
      <c r="A86" s="2" t="s">
        <v>83</v>
      </c>
      <c r="B86" s="2" t="s">
        <v>34</v>
      </c>
      <c r="C86" s="2">
        <v>6.2</v>
      </c>
      <c r="D86" s="2" t="s">
        <v>20</v>
      </c>
      <c r="E86" s="2">
        <v>10</v>
      </c>
      <c r="F86" s="2" t="s">
        <v>40</v>
      </c>
      <c r="G86" s="7">
        <v>45883</v>
      </c>
      <c r="H86" s="2">
        <f t="shared" si="0"/>
        <v>0.23</v>
      </c>
      <c r="I86" s="2" t="s">
        <v>22</v>
      </c>
      <c r="J86" s="4">
        <v>3.746</v>
      </c>
      <c r="K86" s="6">
        <v>6.11</v>
      </c>
      <c r="L86">
        <v>75969</v>
      </c>
      <c r="M86">
        <v>2.36</v>
      </c>
      <c r="N86">
        <v>96.88</v>
      </c>
      <c r="O86">
        <v>0.76</v>
      </c>
      <c r="P86">
        <v>1970245</v>
      </c>
    </row>
    <row r="87" spans="1:19">
      <c r="A87" s="2" t="s">
        <v>84</v>
      </c>
      <c r="B87" s="2" t="s">
        <v>34</v>
      </c>
      <c r="C87" s="2">
        <v>6.2</v>
      </c>
      <c r="D87" s="2" t="s">
        <v>24</v>
      </c>
      <c r="E87" s="2">
        <v>11</v>
      </c>
      <c r="F87" s="2" t="s">
        <v>40</v>
      </c>
      <c r="G87" s="7">
        <v>45883</v>
      </c>
      <c r="H87" s="2">
        <f t="shared" si="0"/>
        <v>0.23</v>
      </c>
      <c r="I87" s="2" t="s">
        <v>85</v>
      </c>
      <c r="J87" s="4">
        <v>3.363</v>
      </c>
      <c r="K87" s="6">
        <v>6.18</v>
      </c>
      <c r="L87">
        <v>75974</v>
      </c>
      <c r="M87">
        <v>2.25</v>
      </c>
      <c r="N87">
        <v>96.77</v>
      </c>
      <c r="O87">
        <v>0.98</v>
      </c>
      <c r="P87">
        <v>1647575</v>
      </c>
    </row>
    <row r="88" spans="1:19">
      <c r="A88" s="2" t="s">
        <v>86</v>
      </c>
      <c r="B88" s="2" t="s">
        <v>34</v>
      </c>
      <c r="C88" s="2">
        <v>6.2</v>
      </c>
      <c r="D88" s="2" t="s">
        <v>26</v>
      </c>
      <c r="E88" s="2">
        <v>12</v>
      </c>
      <c r="F88" s="2" t="s">
        <v>40</v>
      </c>
      <c r="G88" s="7">
        <v>45883</v>
      </c>
      <c r="H88" s="2">
        <f t="shared" si="0"/>
        <v>0.23</v>
      </c>
      <c r="I88" s="2" t="s">
        <v>85</v>
      </c>
      <c r="J88" s="4">
        <v>3.262</v>
      </c>
      <c r="K88" s="6">
        <v>6.17</v>
      </c>
      <c r="L88">
        <v>75979</v>
      </c>
      <c r="M88">
        <v>2.39</v>
      </c>
      <c r="N88">
        <v>96.73</v>
      </c>
      <c r="O88">
        <v>0.88</v>
      </c>
      <c r="P88">
        <v>1439691</v>
      </c>
    </row>
    <row r="89" spans="1:19">
      <c r="A89" s="2" t="s">
        <v>87</v>
      </c>
      <c r="B89" s="2" t="s">
        <v>34</v>
      </c>
      <c r="C89" s="2">
        <v>6.8</v>
      </c>
      <c r="D89" s="2" t="s">
        <v>20</v>
      </c>
      <c r="E89" s="2">
        <v>13</v>
      </c>
      <c r="F89" s="2" t="s">
        <v>40</v>
      </c>
      <c r="G89" s="7">
        <v>45883</v>
      </c>
      <c r="H89" s="2">
        <f t="shared" si="0"/>
        <v>0.23</v>
      </c>
      <c r="I89" s="2" t="s">
        <v>22</v>
      </c>
      <c r="J89" s="4">
        <v>3.5470000000000002</v>
      </c>
      <c r="K89" s="6">
        <v>6.73</v>
      </c>
      <c r="L89">
        <v>75984</v>
      </c>
      <c r="M89">
        <v>2.5499999999999998</v>
      </c>
      <c r="N89">
        <v>96.44</v>
      </c>
      <c r="O89">
        <v>1.01</v>
      </c>
      <c r="P89">
        <v>1747623</v>
      </c>
    </row>
    <row r="90" spans="1:19">
      <c r="A90" s="2" t="s">
        <v>88</v>
      </c>
      <c r="B90" s="2" t="s">
        <v>34</v>
      </c>
      <c r="C90" s="2">
        <v>6.8</v>
      </c>
      <c r="D90" s="2" t="s">
        <v>24</v>
      </c>
      <c r="E90" s="2">
        <v>14</v>
      </c>
      <c r="F90" s="2" t="s">
        <v>40</v>
      </c>
      <c r="G90" s="7">
        <v>45883</v>
      </c>
      <c r="H90" s="2">
        <f t="shared" si="0"/>
        <v>0.23</v>
      </c>
      <c r="I90" s="2" t="s">
        <v>22</v>
      </c>
      <c r="J90" s="4">
        <v>3.2160000000000002</v>
      </c>
      <c r="K90" s="6">
        <v>6.8</v>
      </c>
      <c r="L90">
        <v>75989</v>
      </c>
      <c r="M90">
        <v>2.25</v>
      </c>
      <c r="N90">
        <v>96.7</v>
      </c>
      <c r="O90">
        <v>1.05</v>
      </c>
      <c r="P90">
        <v>1709518</v>
      </c>
    </row>
    <row r="91" spans="1:19">
      <c r="A91" s="2" t="s">
        <v>89</v>
      </c>
      <c r="B91" s="2" t="s">
        <v>34</v>
      </c>
      <c r="C91" s="2">
        <v>6.8</v>
      </c>
      <c r="D91" s="2" t="s">
        <v>26</v>
      </c>
      <c r="E91" s="2">
        <v>15</v>
      </c>
      <c r="F91" s="2" t="s">
        <v>40</v>
      </c>
      <c r="G91" s="7">
        <v>45883</v>
      </c>
      <c r="H91" s="2">
        <f t="shared" si="0"/>
        <v>0.23</v>
      </c>
      <c r="I91" s="2" t="s">
        <v>22</v>
      </c>
      <c r="J91" s="4">
        <v>3.3490000000000002</v>
      </c>
      <c r="K91" s="6">
        <v>6.81</v>
      </c>
      <c r="L91">
        <v>75994</v>
      </c>
      <c r="M91">
        <v>2.4</v>
      </c>
      <c r="N91">
        <v>96.47</v>
      </c>
      <c r="O91">
        <v>1.1299999999999999</v>
      </c>
      <c r="P91">
        <v>1786832</v>
      </c>
    </row>
    <row r="92" spans="1:19">
      <c r="A92" s="2" t="s">
        <v>90</v>
      </c>
      <c r="B92" s="2" t="s">
        <v>19</v>
      </c>
      <c r="C92" s="2">
        <v>6.5</v>
      </c>
      <c r="D92" s="2" t="s">
        <v>20</v>
      </c>
      <c r="E92" s="2">
        <v>1</v>
      </c>
      <c r="F92" s="2" t="s">
        <v>21</v>
      </c>
      <c r="G92" s="7">
        <v>45890</v>
      </c>
      <c r="H92" s="2">
        <f t="shared" si="0"/>
        <v>0.46</v>
      </c>
      <c r="I92" s="2" t="s">
        <v>22</v>
      </c>
      <c r="J92" s="4">
        <v>3.847</v>
      </c>
      <c r="K92" s="6">
        <v>6.4</v>
      </c>
      <c r="L92">
        <v>76696</v>
      </c>
      <c r="M92">
        <v>2.23</v>
      </c>
      <c r="N92">
        <v>97.36</v>
      </c>
      <c r="O92">
        <v>0.4</v>
      </c>
      <c r="P92">
        <v>1924334</v>
      </c>
    </row>
    <row r="93" spans="1:19">
      <c r="A93" s="2" t="s">
        <v>91</v>
      </c>
      <c r="B93" s="2" t="s">
        <v>19</v>
      </c>
      <c r="C93" s="2">
        <v>6.5</v>
      </c>
      <c r="D93" s="2" t="s">
        <v>24</v>
      </c>
      <c r="E93" s="2">
        <v>2</v>
      </c>
      <c r="F93" s="2" t="s">
        <v>21</v>
      </c>
      <c r="G93" s="7">
        <v>45890</v>
      </c>
      <c r="H93" s="2">
        <f t="shared" si="0"/>
        <v>0.46</v>
      </c>
      <c r="I93" s="2" t="s">
        <v>22</v>
      </c>
      <c r="J93" s="4">
        <v>3.613</v>
      </c>
      <c r="K93" s="6">
        <v>6.39</v>
      </c>
      <c r="L93">
        <v>76701</v>
      </c>
      <c r="M93">
        <v>2.08</v>
      </c>
      <c r="N93">
        <v>97.49</v>
      </c>
      <c r="O93">
        <v>0.43</v>
      </c>
      <c r="P93">
        <v>1797038</v>
      </c>
    </row>
    <row r="94" spans="1:19">
      <c r="A94" s="2" t="s">
        <v>92</v>
      </c>
      <c r="B94" s="2" t="s">
        <v>19</v>
      </c>
      <c r="C94" s="2">
        <v>6.5</v>
      </c>
      <c r="D94" s="2" t="s">
        <v>26</v>
      </c>
      <c r="E94" s="2">
        <v>3</v>
      </c>
      <c r="F94" s="2" t="s">
        <v>21</v>
      </c>
      <c r="G94" s="7">
        <v>45890</v>
      </c>
      <c r="H94" s="2">
        <f t="shared" si="0"/>
        <v>0.46</v>
      </c>
      <c r="I94" s="2" t="s">
        <v>22</v>
      </c>
      <c r="J94" s="4">
        <v>3.6469999999999998</v>
      </c>
      <c r="K94" s="6">
        <v>6.48</v>
      </c>
      <c r="L94">
        <v>76706</v>
      </c>
      <c r="M94">
        <v>2.1800000000000002</v>
      </c>
      <c r="N94">
        <v>97.2</v>
      </c>
      <c r="O94">
        <v>0.62</v>
      </c>
      <c r="P94">
        <v>1836194</v>
      </c>
    </row>
    <row r="95" spans="1:19" s="16" customFormat="1">
      <c r="A95" s="12" t="s">
        <v>93</v>
      </c>
      <c r="B95" s="12" t="s">
        <v>19</v>
      </c>
      <c r="C95" s="12">
        <v>7</v>
      </c>
      <c r="D95" s="12" t="s">
        <v>20</v>
      </c>
      <c r="E95" s="12">
        <v>4</v>
      </c>
      <c r="F95" s="12" t="s">
        <v>21</v>
      </c>
      <c r="G95" s="13">
        <v>45890</v>
      </c>
      <c r="H95" s="12">
        <f t="shared" si="0"/>
        <v>0.46</v>
      </c>
      <c r="I95" s="12" t="s">
        <v>22</v>
      </c>
      <c r="J95" s="14">
        <v>3.734</v>
      </c>
      <c r="K95" s="15">
        <v>6.88</v>
      </c>
      <c r="L95" s="16">
        <v>76711</v>
      </c>
      <c r="M95" s="16">
        <v>2.06</v>
      </c>
      <c r="N95" s="16">
        <v>96.11</v>
      </c>
      <c r="O95" s="16">
        <v>1.83</v>
      </c>
      <c r="P95" s="16">
        <v>1874815</v>
      </c>
      <c r="Q95" s="12"/>
      <c r="R95" s="12"/>
      <c r="S95" s="12"/>
    </row>
    <row r="96" spans="1:19">
      <c r="A96" s="2" t="s">
        <v>94</v>
      </c>
      <c r="B96" s="2" t="s">
        <v>19</v>
      </c>
      <c r="C96" s="2">
        <v>7</v>
      </c>
      <c r="D96" s="2" t="s">
        <v>24</v>
      </c>
      <c r="E96" s="2">
        <v>5</v>
      </c>
      <c r="F96" s="2" t="s">
        <v>21</v>
      </c>
      <c r="G96" s="7">
        <v>45890</v>
      </c>
      <c r="H96" s="2">
        <f t="shared" si="0"/>
        <v>0.46</v>
      </c>
      <c r="I96" s="2" t="s">
        <v>22</v>
      </c>
      <c r="J96" s="4">
        <v>3.5590000000000002</v>
      </c>
      <c r="K96" s="6">
        <v>6.9</v>
      </c>
      <c r="L96">
        <v>76716</v>
      </c>
      <c r="M96">
        <v>2.16</v>
      </c>
      <c r="N96">
        <v>97.28</v>
      </c>
      <c r="O96">
        <v>0.56000000000000005</v>
      </c>
      <c r="P96">
        <v>1796664</v>
      </c>
    </row>
    <row r="97" spans="1:16">
      <c r="A97" s="2" t="s">
        <v>95</v>
      </c>
      <c r="B97" s="2" t="s">
        <v>19</v>
      </c>
      <c r="C97" s="2">
        <v>7</v>
      </c>
      <c r="D97" s="2" t="s">
        <v>26</v>
      </c>
      <c r="E97" s="2">
        <v>6</v>
      </c>
      <c r="F97" s="2" t="s">
        <v>21</v>
      </c>
      <c r="G97" s="7">
        <v>45890</v>
      </c>
      <c r="H97" s="2">
        <f t="shared" si="0"/>
        <v>0.46</v>
      </c>
      <c r="I97" s="2" t="s">
        <v>22</v>
      </c>
      <c r="J97" s="4">
        <v>3.589</v>
      </c>
      <c r="K97" s="6">
        <v>6.92</v>
      </c>
      <c r="L97">
        <v>76721</v>
      </c>
      <c r="M97">
        <v>2.2599999999999998</v>
      </c>
      <c r="N97">
        <v>96.96</v>
      </c>
      <c r="O97">
        <v>0.77</v>
      </c>
      <c r="P97">
        <v>1815094</v>
      </c>
    </row>
    <row r="98" spans="1:16">
      <c r="A98" s="2" t="s">
        <v>96</v>
      </c>
      <c r="B98" s="2" t="s">
        <v>19</v>
      </c>
      <c r="C98" s="2">
        <v>7.5</v>
      </c>
      <c r="D98" s="2" t="s">
        <v>20</v>
      </c>
      <c r="E98" s="2">
        <v>7</v>
      </c>
      <c r="F98" s="2" t="s">
        <v>21</v>
      </c>
      <c r="G98" s="7">
        <v>45890</v>
      </c>
      <c r="H98" s="2">
        <f t="shared" si="0"/>
        <v>0.46</v>
      </c>
      <c r="I98" s="2" t="s">
        <v>22</v>
      </c>
      <c r="J98" s="4">
        <v>3.7589999999999999</v>
      </c>
      <c r="K98" s="6">
        <v>7.31</v>
      </c>
      <c r="L98">
        <v>76736</v>
      </c>
      <c r="M98">
        <v>2.5</v>
      </c>
      <c r="N98">
        <v>96.79</v>
      </c>
      <c r="O98">
        <v>0.71</v>
      </c>
      <c r="P98">
        <v>1921694</v>
      </c>
    </row>
    <row r="99" spans="1:16">
      <c r="A99" s="2" t="s">
        <v>97</v>
      </c>
      <c r="B99" s="2" t="s">
        <v>19</v>
      </c>
      <c r="C99" s="2">
        <v>7.5</v>
      </c>
      <c r="D99" s="2" t="s">
        <v>24</v>
      </c>
      <c r="E99" s="2">
        <v>8</v>
      </c>
      <c r="F99" s="2" t="s">
        <v>21</v>
      </c>
      <c r="G99" s="7">
        <v>45890</v>
      </c>
      <c r="H99" s="2">
        <f t="shared" si="0"/>
        <v>0.46</v>
      </c>
      <c r="I99" s="2" t="s">
        <v>22</v>
      </c>
      <c r="J99" s="4">
        <v>3.4319999999999999</v>
      </c>
      <c r="K99" s="6">
        <v>7.4</v>
      </c>
      <c r="L99">
        <v>76741</v>
      </c>
      <c r="M99">
        <v>2.31</v>
      </c>
      <c r="N99">
        <v>96.87</v>
      </c>
      <c r="O99">
        <v>0.82</v>
      </c>
      <c r="P99">
        <v>1750831</v>
      </c>
    </row>
    <row r="100" spans="1:16">
      <c r="A100" s="2" t="s">
        <v>98</v>
      </c>
      <c r="B100" s="2" t="s">
        <v>19</v>
      </c>
      <c r="C100" s="2">
        <v>7.5</v>
      </c>
      <c r="D100" s="2" t="s">
        <v>26</v>
      </c>
      <c r="E100" s="2">
        <v>9</v>
      </c>
      <c r="F100" s="2" t="s">
        <v>21</v>
      </c>
      <c r="G100" s="7">
        <v>45890</v>
      </c>
      <c r="H100" s="2">
        <f t="shared" si="0"/>
        <v>0.46</v>
      </c>
      <c r="I100" s="2" t="s">
        <v>22</v>
      </c>
      <c r="J100" s="4">
        <v>3.6150000000000002</v>
      </c>
      <c r="K100" s="6">
        <v>7.32</v>
      </c>
      <c r="L100">
        <v>76746</v>
      </c>
      <c r="M100">
        <v>2.27</v>
      </c>
      <c r="N100">
        <v>96.81</v>
      </c>
      <c r="O100">
        <v>0.91</v>
      </c>
      <c r="P100">
        <v>1850511</v>
      </c>
    </row>
    <row r="101" spans="1:16">
      <c r="A101" s="2" t="s">
        <v>99</v>
      </c>
      <c r="B101" s="2" t="s">
        <v>34</v>
      </c>
      <c r="C101" s="2">
        <v>6.2</v>
      </c>
      <c r="D101" s="2" t="s">
        <v>20</v>
      </c>
      <c r="E101" s="2">
        <v>10</v>
      </c>
      <c r="F101" s="2" t="s">
        <v>21</v>
      </c>
      <c r="G101" s="7">
        <v>45890</v>
      </c>
      <c r="H101" s="2">
        <f t="shared" si="0"/>
        <v>0.46</v>
      </c>
      <c r="I101" s="2" t="s">
        <v>22</v>
      </c>
      <c r="J101" s="4">
        <v>3.7650000000000001</v>
      </c>
      <c r="K101" s="6">
        <v>6.11</v>
      </c>
      <c r="L101">
        <v>76751</v>
      </c>
      <c r="M101">
        <v>2.13</v>
      </c>
      <c r="N101">
        <v>97.43</v>
      </c>
      <c r="O101">
        <v>0.43</v>
      </c>
      <c r="P101">
        <v>1902649</v>
      </c>
    </row>
    <row r="102" spans="1:16">
      <c r="A102" s="2" t="s">
        <v>100</v>
      </c>
      <c r="B102" s="2" t="s">
        <v>34</v>
      </c>
      <c r="C102" s="2">
        <v>6.2</v>
      </c>
      <c r="D102" s="2" t="s">
        <v>24</v>
      </c>
      <c r="E102" s="2">
        <v>11</v>
      </c>
      <c r="F102" s="2" t="s">
        <v>21</v>
      </c>
      <c r="G102" s="7">
        <v>45890</v>
      </c>
      <c r="H102" s="2">
        <f t="shared" si="0"/>
        <v>0.46</v>
      </c>
      <c r="I102" s="2" t="s">
        <v>22</v>
      </c>
      <c r="J102" s="4">
        <v>3.3860000000000001</v>
      </c>
      <c r="K102" s="6">
        <v>6.19</v>
      </c>
      <c r="L102">
        <v>76756</v>
      </c>
      <c r="M102">
        <v>2.02</v>
      </c>
      <c r="N102">
        <v>97.5</v>
      </c>
      <c r="O102">
        <v>0.48</v>
      </c>
      <c r="P102">
        <v>1722175</v>
      </c>
    </row>
    <row r="103" spans="1:16">
      <c r="A103" s="2" t="s">
        <v>101</v>
      </c>
      <c r="B103" s="2" t="s">
        <v>34</v>
      </c>
      <c r="C103" s="2">
        <v>6.2</v>
      </c>
      <c r="D103" s="2" t="s">
        <v>26</v>
      </c>
      <c r="E103" s="2">
        <v>12</v>
      </c>
      <c r="F103" s="2" t="s">
        <v>21</v>
      </c>
      <c r="G103" s="7">
        <v>45890</v>
      </c>
      <c r="H103" s="2">
        <f t="shared" si="0"/>
        <v>0.46</v>
      </c>
      <c r="I103" s="2" t="s">
        <v>22</v>
      </c>
      <c r="J103" s="4">
        <v>3.2749999999999999</v>
      </c>
      <c r="K103" s="6">
        <v>6.17</v>
      </c>
      <c r="L103">
        <v>76761</v>
      </c>
      <c r="M103">
        <v>2.1</v>
      </c>
      <c r="N103">
        <v>97.4</v>
      </c>
      <c r="O103">
        <v>0.5</v>
      </c>
      <c r="P103">
        <v>1676988</v>
      </c>
    </row>
    <row r="104" spans="1:16">
      <c r="A104" s="2" t="s">
        <v>102</v>
      </c>
      <c r="B104" s="2" t="s">
        <v>34</v>
      </c>
      <c r="C104" s="2">
        <v>6.8</v>
      </c>
      <c r="D104" s="2" t="s">
        <v>20</v>
      </c>
      <c r="E104" s="2">
        <v>13</v>
      </c>
      <c r="F104" s="2" t="s">
        <v>21</v>
      </c>
      <c r="G104" s="7">
        <v>45890</v>
      </c>
      <c r="H104" s="2">
        <f t="shared" si="0"/>
        <v>0.46</v>
      </c>
      <c r="I104" s="2" t="s">
        <v>22</v>
      </c>
      <c r="J104" s="4">
        <v>3.5630000000000002</v>
      </c>
      <c r="K104" s="6">
        <v>6.71</v>
      </c>
      <c r="L104">
        <v>76766</v>
      </c>
      <c r="M104">
        <v>2.25</v>
      </c>
      <c r="N104">
        <v>97.22</v>
      </c>
      <c r="O104">
        <v>0.52</v>
      </c>
      <c r="P104">
        <v>1839340</v>
      </c>
    </row>
    <row r="105" spans="1:16">
      <c r="A105" s="2" t="s">
        <v>103</v>
      </c>
      <c r="B105" s="2" t="s">
        <v>34</v>
      </c>
      <c r="C105" s="2">
        <v>6.8</v>
      </c>
      <c r="D105" s="2" t="s">
        <v>24</v>
      </c>
      <c r="E105" s="2">
        <v>14</v>
      </c>
      <c r="F105" s="2" t="s">
        <v>21</v>
      </c>
      <c r="G105" s="7">
        <v>45890</v>
      </c>
      <c r="H105" s="2">
        <f t="shared" si="0"/>
        <v>0.46</v>
      </c>
      <c r="I105" s="2" t="s">
        <v>22</v>
      </c>
      <c r="J105" s="4">
        <v>3.2250000000000001</v>
      </c>
      <c r="K105" s="6">
        <v>6.79</v>
      </c>
      <c r="L105">
        <v>76771</v>
      </c>
      <c r="M105">
        <v>2.09</v>
      </c>
      <c r="N105">
        <v>97.38</v>
      </c>
      <c r="O105">
        <v>0.53</v>
      </c>
      <c r="P105">
        <v>1670266</v>
      </c>
    </row>
    <row r="106" spans="1:16">
      <c r="A106" s="2" t="s">
        <v>104</v>
      </c>
      <c r="B106" s="2" t="s">
        <v>34</v>
      </c>
      <c r="C106" s="2">
        <v>6.8</v>
      </c>
      <c r="D106" s="2" t="s">
        <v>26</v>
      </c>
      <c r="E106" s="2">
        <v>15</v>
      </c>
      <c r="F106" s="2" t="s">
        <v>21</v>
      </c>
      <c r="G106" s="7">
        <v>45890</v>
      </c>
      <c r="H106" s="2">
        <f t="shared" si="0"/>
        <v>0.46</v>
      </c>
      <c r="I106" s="2" t="s">
        <v>22</v>
      </c>
      <c r="J106" s="4">
        <v>3.331</v>
      </c>
      <c r="K106" s="6">
        <v>6.79</v>
      </c>
      <c r="L106">
        <v>76776</v>
      </c>
      <c r="M106">
        <v>2.17</v>
      </c>
      <c r="N106">
        <v>97.33</v>
      </c>
      <c r="O106">
        <v>0.5</v>
      </c>
      <c r="P106">
        <v>1748668</v>
      </c>
    </row>
    <row r="107" spans="1:16">
      <c r="A107" s="2" t="s">
        <v>105</v>
      </c>
      <c r="B107" s="2" t="s">
        <v>19</v>
      </c>
      <c r="C107" s="2">
        <v>6.5</v>
      </c>
      <c r="D107" s="2" t="s">
        <v>20</v>
      </c>
      <c r="E107" s="2">
        <v>1</v>
      </c>
      <c r="F107" s="2" t="s">
        <v>21</v>
      </c>
      <c r="J107" s="4"/>
      <c r="K107" s="6"/>
      <c r="L107" s="6"/>
    </row>
    <row r="108" spans="1:16">
      <c r="A108" s="2" t="s">
        <v>106</v>
      </c>
      <c r="B108" s="2" t="s">
        <v>19</v>
      </c>
      <c r="C108" s="2">
        <v>6.5</v>
      </c>
      <c r="D108" s="2" t="s">
        <v>24</v>
      </c>
      <c r="E108" s="2">
        <v>2</v>
      </c>
      <c r="F108" s="2" t="s">
        <v>21</v>
      </c>
      <c r="J108" s="4"/>
      <c r="K108" s="6"/>
      <c r="L108" s="6"/>
    </row>
    <row r="109" spans="1:16">
      <c r="A109" s="2" t="s">
        <v>107</v>
      </c>
      <c r="B109" s="2" t="s">
        <v>19</v>
      </c>
      <c r="C109" s="2">
        <v>6.5</v>
      </c>
      <c r="D109" s="2" t="s">
        <v>26</v>
      </c>
      <c r="E109" s="2">
        <v>3</v>
      </c>
      <c r="F109" s="2" t="s">
        <v>21</v>
      </c>
      <c r="J109" s="4"/>
      <c r="K109" s="6"/>
      <c r="L109" s="6"/>
    </row>
    <row r="110" spans="1:16">
      <c r="A110" s="2" t="s">
        <v>108</v>
      </c>
      <c r="B110" s="2" t="s">
        <v>19</v>
      </c>
      <c r="C110" s="2">
        <v>7</v>
      </c>
      <c r="D110" s="2" t="s">
        <v>20</v>
      </c>
      <c r="E110" s="2">
        <v>4</v>
      </c>
      <c r="F110" s="2" t="s">
        <v>21</v>
      </c>
      <c r="J110" s="4"/>
      <c r="K110" s="6"/>
      <c r="L110" s="6"/>
    </row>
    <row r="111" spans="1:16">
      <c r="A111" s="2" t="s">
        <v>109</v>
      </c>
      <c r="B111" s="2" t="s">
        <v>19</v>
      </c>
      <c r="C111" s="2">
        <v>7</v>
      </c>
      <c r="D111" s="2" t="s">
        <v>24</v>
      </c>
      <c r="E111" s="2">
        <v>5</v>
      </c>
      <c r="F111" s="2" t="s">
        <v>21</v>
      </c>
      <c r="J111" s="4"/>
      <c r="K111" s="6"/>
      <c r="L111" s="6"/>
    </row>
    <row r="112" spans="1:16">
      <c r="A112" s="2" t="s">
        <v>110</v>
      </c>
      <c r="B112" s="2" t="s">
        <v>19</v>
      </c>
      <c r="C112" s="2">
        <v>7</v>
      </c>
      <c r="D112" s="2" t="s">
        <v>26</v>
      </c>
      <c r="E112" s="2">
        <v>6</v>
      </c>
      <c r="F112" s="2" t="s">
        <v>21</v>
      </c>
      <c r="J112" s="4"/>
      <c r="K112" s="6"/>
      <c r="L112" s="6"/>
    </row>
    <row r="113" spans="1:16">
      <c r="A113" s="2" t="s">
        <v>111</v>
      </c>
      <c r="B113" s="2" t="s">
        <v>19</v>
      </c>
      <c r="C113" s="2">
        <v>7.5</v>
      </c>
      <c r="D113" s="2" t="s">
        <v>20</v>
      </c>
      <c r="E113" s="2">
        <v>7</v>
      </c>
      <c r="F113" s="2" t="s">
        <v>21</v>
      </c>
      <c r="J113" s="4"/>
      <c r="K113" s="6"/>
      <c r="L113" s="6"/>
    </row>
    <row r="114" spans="1:16">
      <c r="A114" s="2" t="s">
        <v>112</v>
      </c>
      <c r="B114" s="2" t="s">
        <v>19</v>
      </c>
      <c r="C114" s="2">
        <v>7.5</v>
      </c>
      <c r="D114" s="2" t="s">
        <v>24</v>
      </c>
      <c r="E114" s="2">
        <v>8</v>
      </c>
      <c r="F114" s="2" t="s">
        <v>21</v>
      </c>
      <c r="J114" s="4"/>
      <c r="K114" s="6"/>
      <c r="L114" s="6"/>
    </row>
    <row r="115" spans="1:16">
      <c r="A115" s="2" t="s">
        <v>113</v>
      </c>
      <c r="B115" s="2" t="s">
        <v>19</v>
      </c>
      <c r="C115" s="2">
        <v>7.5</v>
      </c>
      <c r="D115" s="2" t="s">
        <v>26</v>
      </c>
      <c r="E115" s="2">
        <v>9</v>
      </c>
      <c r="F115" s="2" t="s">
        <v>21</v>
      </c>
      <c r="J115" s="4"/>
      <c r="K115" s="6"/>
      <c r="L115" s="6"/>
    </row>
    <row r="116" spans="1:16">
      <c r="A116" s="2" t="s">
        <v>114</v>
      </c>
      <c r="B116" s="2" t="s">
        <v>34</v>
      </c>
      <c r="C116" s="2">
        <v>6.2</v>
      </c>
      <c r="D116" s="2" t="s">
        <v>20</v>
      </c>
      <c r="E116" s="2">
        <v>10</v>
      </c>
      <c r="F116" s="2" t="s">
        <v>21</v>
      </c>
      <c r="J116" s="4"/>
      <c r="K116" s="6"/>
      <c r="L116" s="6"/>
    </row>
    <row r="117" spans="1:16">
      <c r="A117" s="2" t="s">
        <v>115</v>
      </c>
      <c r="B117" s="2" t="s">
        <v>34</v>
      </c>
      <c r="C117" s="2">
        <v>6.2</v>
      </c>
      <c r="D117" s="2" t="s">
        <v>24</v>
      </c>
      <c r="E117" s="2">
        <v>11</v>
      </c>
      <c r="F117" s="2" t="s">
        <v>21</v>
      </c>
      <c r="J117" s="4"/>
      <c r="K117" s="6"/>
      <c r="L117" s="6"/>
    </row>
    <row r="118" spans="1:16">
      <c r="A118" s="2" t="s">
        <v>116</v>
      </c>
      <c r="B118" s="2" t="s">
        <v>34</v>
      </c>
      <c r="C118" s="2">
        <v>6.2</v>
      </c>
      <c r="D118" s="2" t="s">
        <v>26</v>
      </c>
      <c r="E118" s="2">
        <v>12</v>
      </c>
      <c r="F118" s="2" t="s">
        <v>21</v>
      </c>
      <c r="J118" s="4"/>
      <c r="K118" s="6"/>
      <c r="L118" s="6"/>
    </row>
    <row r="119" spans="1:16">
      <c r="A119" s="2" t="s">
        <v>117</v>
      </c>
      <c r="B119" s="2" t="s">
        <v>34</v>
      </c>
      <c r="C119" s="2">
        <v>6.8</v>
      </c>
      <c r="D119" s="2" t="s">
        <v>20</v>
      </c>
      <c r="E119" s="2">
        <v>13</v>
      </c>
      <c r="F119" s="2" t="s">
        <v>21</v>
      </c>
      <c r="J119" s="4"/>
      <c r="K119" s="6"/>
      <c r="L119" s="6"/>
    </row>
    <row r="120" spans="1:16">
      <c r="A120" s="2" t="s">
        <v>118</v>
      </c>
      <c r="B120" s="2" t="s">
        <v>34</v>
      </c>
      <c r="C120" s="2">
        <v>6.8</v>
      </c>
      <c r="D120" s="2" t="s">
        <v>24</v>
      </c>
      <c r="E120" s="2">
        <v>14</v>
      </c>
      <c r="F120" s="2" t="s">
        <v>21</v>
      </c>
      <c r="J120" s="4"/>
      <c r="K120" s="6"/>
      <c r="L120" s="6"/>
    </row>
    <row r="121" spans="1:16">
      <c r="A121" s="2" t="s">
        <v>119</v>
      </c>
      <c r="B121" s="2" t="s">
        <v>34</v>
      </c>
      <c r="C121" s="2">
        <v>6.8</v>
      </c>
      <c r="D121" s="2" t="s">
        <v>26</v>
      </c>
      <c r="E121" s="2">
        <v>15</v>
      </c>
      <c r="F121" s="2" t="s">
        <v>21</v>
      </c>
      <c r="J121" s="4"/>
      <c r="K121" s="6"/>
      <c r="L121" s="6"/>
    </row>
    <row r="122" spans="1:16">
      <c r="A122" s="2" t="s">
        <v>120</v>
      </c>
      <c r="B122" s="2" t="s">
        <v>19</v>
      </c>
      <c r="C122" s="2">
        <v>6.5</v>
      </c>
      <c r="D122" s="2" t="s">
        <v>20</v>
      </c>
      <c r="E122" s="2">
        <v>1</v>
      </c>
      <c r="F122" s="2" t="s">
        <v>41</v>
      </c>
      <c r="G122" s="7">
        <v>45883</v>
      </c>
      <c r="H122" s="2" t="s">
        <v>121</v>
      </c>
      <c r="I122" s="2" t="s">
        <v>22</v>
      </c>
      <c r="J122" s="4">
        <v>3.6989999999999998</v>
      </c>
      <c r="K122" s="6">
        <v>6.41</v>
      </c>
      <c r="L122">
        <v>75999</v>
      </c>
      <c r="M122">
        <v>2.04</v>
      </c>
      <c r="N122">
        <v>97.35</v>
      </c>
      <c r="O122">
        <v>0.61</v>
      </c>
      <c r="P122">
        <v>2025925</v>
      </c>
    </row>
    <row r="123" spans="1:16">
      <c r="A123" s="2" t="s">
        <v>122</v>
      </c>
      <c r="B123" s="2" t="s">
        <v>19</v>
      </c>
      <c r="C123" s="2">
        <v>6.5</v>
      </c>
      <c r="D123" s="2" t="s">
        <v>24</v>
      </c>
      <c r="E123" s="2">
        <v>2</v>
      </c>
      <c r="F123" s="2" t="s">
        <v>41</v>
      </c>
      <c r="G123" s="7">
        <v>45883</v>
      </c>
      <c r="H123" s="2" t="s">
        <v>121</v>
      </c>
      <c r="I123" s="2" t="s">
        <v>22</v>
      </c>
      <c r="J123" s="4">
        <v>3.5310000000000001</v>
      </c>
      <c r="K123" s="6">
        <v>6.39</v>
      </c>
      <c r="L123">
        <v>76014</v>
      </c>
      <c r="M123">
        <v>1.96</v>
      </c>
      <c r="N123">
        <v>97.52</v>
      </c>
      <c r="O123">
        <v>0.52</v>
      </c>
      <c r="P123">
        <v>1879789</v>
      </c>
    </row>
    <row r="124" spans="1:16">
      <c r="A124" s="2" t="s">
        <v>123</v>
      </c>
      <c r="B124" s="2" t="s">
        <v>19</v>
      </c>
      <c r="C124" s="2">
        <v>6.5</v>
      </c>
      <c r="D124" s="2" t="s">
        <v>26</v>
      </c>
      <c r="E124" s="2">
        <v>3</v>
      </c>
      <c r="F124" s="2" t="s">
        <v>41</v>
      </c>
      <c r="G124" s="7">
        <v>45883</v>
      </c>
      <c r="H124" s="2" t="s">
        <v>121</v>
      </c>
      <c r="I124" s="2" t="s">
        <v>22</v>
      </c>
      <c r="J124" s="4">
        <v>3.5510000000000002</v>
      </c>
      <c r="K124" s="6">
        <v>6.48</v>
      </c>
      <c r="L124">
        <v>76189</v>
      </c>
      <c r="M124">
        <v>2.1</v>
      </c>
      <c r="N124">
        <v>97.47</v>
      </c>
      <c r="O124">
        <v>0.43</v>
      </c>
      <c r="P124">
        <v>1800508</v>
      </c>
    </row>
    <row r="125" spans="1:16">
      <c r="A125" s="2" t="s">
        <v>124</v>
      </c>
      <c r="B125" s="2" t="s">
        <v>19</v>
      </c>
      <c r="C125" s="2">
        <v>7</v>
      </c>
      <c r="D125" s="2" t="s">
        <v>20</v>
      </c>
      <c r="E125" s="2">
        <v>4</v>
      </c>
      <c r="F125" s="2" t="s">
        <v>41</v>
      </c>
      <c r="G125" s="7">
        <v>45883</v>
      </c>
      <c r="H125" s="2" t="s">
        <v>121</v>
      </c>
      <c r="I125" s="2" t="s">
        <v>22</v>
      </c>
      <c r="J125" s="4">
        <v>3.5310000000000001</v>
      </c>
      <c r="K125" s="6">
        <v>6.89</v>
      </c>
      <c r="L125">
        <v>76024</v>
      </c>
      <c r="M125">
        <v>2.1</v>
      </c>
      <c r="N125">
        <v>97.36</v>
      </c>
      <c r="O125">
        <v>0.54</v>
      </c>
      <c r="P125">
        <v>1887336</v>
      </c>
    </row>
    <row r="126" spans="1:16">
      <c r="A126" s="2" t="s">
        <v>125</v>
      </c>
      <c r="B126" s="2" t="s">
        <v>19</v>
      </c>
      <c r="C126" s="2">
        <v>7</v>
      </c>
      <c r="D126" s="2" t="s">
        <v>24</v>
      </c>
      <c r="E126" s="2">
        <v>5</v>
      </c>
      <c r="F126" s="2" t="s">
        <v>41</v>
      </c>
      <c r="G126" s="7">
        <v>45883</v>
      </c>
      <c r="H126" s="2" t="s">
        <v>121</v>
      </c>
      <c r="I126" s="2" t="s">
        <v>22</v>
      </c>
      <c r="J126" s="4">
        <v>3.512</v>
      </c>
      <c r="K126" s="6">
        <v>6.89</v>
      </c>
      <c r="L126">
        <v>76029</v>
      </c>
      <c r="M126">
        <v>1.95</v>
      </c>
      <c r="N126">
        <v>97.61</v>
      </c>
      <c r="O126">
        <v>0.44</v>
      </c>
      <c r="P126">
        <v>1900139</v>
      </c>
    </row>
    <row r="127" spans="1:16">
      <c r="A127" s="2" t="s">
        <v>126</v>
      </c>
      <c r="B127" s="2" t="s">
        <v>19</v>
      </c>
      <c r="C127" s="2">
        <v>7</v>
      </c>
      <c r="D127" s="2" t="s">
        <v>26</v>
      </c>
      <c r="E127" s="2">
        <v>6</v>
      </c>
      <c r="F127" s="2" t="s">
        <v>41</v>
      </c>
      <c r="G127" s="7">
        <v>45883</v>
      </c>
      <c r="H127" s="2" t="s">
        <v>121</v>
      </c>
      <c r="I127" s="2" t="s">
        <v>22</v>
      </c>
      <c r="J127" s="4">
        <v>3.472</v>
      </c>
      <c r="K127" s="6">
        <v>6.92</v>
      </c>
      <c r="L127">
        <v>76034</v>
      </c>
      <c r="M127">
        <v>1.73</v>
      </c>
      <c r="N127">
        <v>97.49</v>
      </c>
      <c r="O127">
        <v>0.79</v>
      </c>
      <c r="P127">
        <v>1859715</v>
      </c>
    </row>
    <row r="128" spans="1:16">
      <c r="A128" s="2" t="s">
        <v>127</v>
      </c>
      <c r="B128" s="2" t="s">
        <v>19</v>
      </c>
      <c r="C128" s="2">
        <v>7.5</v>
      </c>
      <c r="D128" s="2" t="s">
        <v>20</v>
      </c>
      <c r="E128" s="2">
        <v>7</v>
      </c>
      <c r="F128" s="2" t="s">
        <v>41</v>
      </c>
      <c r="G128" s="7">
        <v>45883</v>
      </c>
      <c r="H128" s="2" t="s">
        <v>121</v>
      </c>
      <c r="I128" s="2" t="s">
        <v>22</v>
      </c>
      <c r="J128" s="4">
        <v>3.6070000000000002</v>
      </c>
      <c r="K128" s="6">
        <v>7.31</v>
      </c>
      <c r="L128">
        <v>76039</v>
      </c>
      <c r="M128">
        <v>2.2599999999999998</v>
      </c>
      <c r="N128">
        <v>97.27</v>
      </c>
      <c r="O128">
        <v>0.47</v>
      </c>
      <c r="P128">
        <v>1996315</v>
      </c>
    </row>
    <row r="129" spans="1:16">
      <c r="A129" s="2" t="s">
        <v>128</v>
      </c>
      <c r="B129" s="2" t="s">
        <v>19</v>
      </c>
      <c r="C129" s="2">
        <v>7.5</v>
      </c>
      <c r="D129" s="2" t="s">
        <v>24</v>
      </c>
      <c r="E129" s="2">
        <v>8</v>
      </c>
      <c r="F129" s="2" t="s">
        <v>41</v>
      </c>
      <c r="G129" s="7">
        <v>45883</v>
      </c>
      <c r="H129" s="2" t="s">
        <v>121</v>
      </c>
      <c r="I129" s="2" t="s">
        <v>22</v>
      </c>
      <c r="J129" s="4">
        <v>3.3780000000000001</v>
      </c>
      <c r="K129" s="6">
        <v>7.4</v>
      </c>
      <c r="L129">
        <v>76044</v>
      </c>
      <c r="M129">
        <v>2.02</v>
      </c>
      <c r="N129">
        <v>97.35</v>
      </c>
      <c r="O129">
        <v>0.63</v>
      </c>
      <c r="P129">
        <v>1819063</v>
      </c>
    </row>
    <row r="130" spans="1:16">
      <c r="A130" s="2" t="s">
        <v>129</v>
      </c>
      <c r="B130" s="2" t="s">
        <v>19</v>
      </c>
      <c r="C130" s="2">
        <v>7.5</v>
      </c>
      <c r="D130" s="2" t="s">
        <v>26</v>
      </c>
      <c r="E130" s="2">
        <v>9</v>
      </c>
      <c r="F130" s="2" t="s">
        <v>41</v>
      </c>
      <c r="G130" s="7">
        <v>45883</v>
      </c>
      <c r="H130" s="2" t="s">
        <v>121</v>
      </c>
      <c r="I130" s="2" t="s">
        <v>22</v>
      </c>
      <c r="J130" s="4">
        <v>3.52</v>
      </c>
      <c r="K130" s="6">
        <v>7.31</v>
      </c>
      <c r="L130">
        <v>76049</v>
      </c>
      <c r="M130">
        <v>1.99</v>
      </c>
      <c r="N130">
        <v>97.41</v>
      </c>
      <c r="O130">
        <v>0.6</v>
      </c>
      <c r="P130">
        <v>1889060</v>
      </c>
    </row>
    <row r="131" spans="1:16">
      <c r="A131" s="2" t="s">
        <v>130</v>
      </c>
      <c r="B131" s="2" t="s">
        <v>34</v>
      </c>
      <c r="C131" s="2">
        <v>6.2</v>
      </c>
      <c r="D131" s="2" t="s">
        <v>20</v>
      </c>
      <c r="E131" s="2">
        <v>10</v>
      </c>
      <c r="F131" s="2" t="s">
        <v>41</v>
      </c>
      <c r="G131" s="7">
        <v>45883</v>
      </c>
      <c r="H131" s="2" t="s">
        <v>121</v>
      </c>
      <c r="I131" s="2" t="s">
        <v>22</v>
      </c>
      <c r="J131" s="4">
        <v>3.4039999999999999</v>
      </c>
      <c r="K131" s="6">
        <v>6.12</v>
      </c>
      <c r="L131">
        <v>76064</v>
      </c>
      <c r="M131">
        <v>1.96</v>
      </c>
      <c r="N131">
        <v>97.46</v>
      </c>
      <c r="O131">
        <v>0.56999999999999995</v>
      </c>
      <c r="P131">
        <v>1916607</v>
      </c>
    </row>
    <row r="132" spans="1:16">
      <c r="A132" s="2" t="s">
        <v>131</v>
      </c>
      <c r="B132" s="2" t="s">
        <v>34</v>
      </c>
      <c r="C132" s="2">
        <v>6.2</v>
      </c>
      <c r="D132" s="2" t="s">
        <v>24</v>
      </c>
      <c r="E132" s="2">
        <v>11</v>
      </c>
      <c r="F132" s="2" t="s">
        <v>41</v>
      </c>
      <c r="G132" s="7">
        <v>45883</v>
      </c>
      <c r="H132" s="2" t="s">
        <v>121</v>
      </c>
      <c r="I132" s="2" t="s">
        <v>22</v>
      </c>
      <c r="J132" s="4">
        <v>3.2919999999999998</v>
      </c>
      <c r="K132" s="6">
        <v>6.18</v>
      </c>
      <c r="L132">
        <v>76069</v>
      </c>
      <c r="M132">
        <v>1.98</v>
      </c>
      <c r="N132">
        <v>97.42</v>
      </c>
      <c r="O132">
        <v>0.6</v>
      </c>
      <c r="P132">
        <v>1813296</v>
      </c>
    </row>
    <row r="133" spans="1:16">
      <c r="A133" s="2" t="s">
        <v>132</v>
      </c>
      <c r="B133" s="2" t="s">
        <v>34</v>
      </c>
      <c r="C133" s="2">
        <v>6.2</v>
      </c>
      <c r="D133" s="2" t="s">
        <v>26</v>
      </c>
      <c r="E133" s="2">
        <v>12</v>
      </c>
      <c r="F133" s="2" t="s">
        <v>41</v>
      </c>
      <c r="G133" s="7">
        <v>45883</v>
      </c>
      <c r="H133" s="2" t="s">
        <v>121</v>
      </c>
      <c r="I133" s="2" t="s">
        <v>22</v>
      </c>
      <c r="J133" s="4">
        <v>3.1829999999999998</v>
      </c>
      <c r="K133" s="6">
        <v>6.17</v>
      </c>
      <c r="L133">
        <v>76074</v>
      </c>
      <c r="M133">
        <v>2.68</v>
      </c>
      <c r="N133">
        <v>96.44</v>
      </c>
      <c r="O133">
        <v>0.88</v>
      </c>
      <c r="P133">
        <v>1089539</v>
      </c>
    </row>
    <row r="134" spans="1:16">
      <c r="A134" s="2" t="s">
        <v>133</v>
      </c>
      <c r="B134" s="2" t="s">
        <v>34</v>
      </c>
      <c r="C134" s="2">
        <v>6.8</v>
      </c>
      <c r="D134" s="2" t="s">
        <v>20</v>
      </c>
      <c r="E134" s="2">
        <v>13</v>
      </c>
      <c r="F134" s="2" t="s">
        <v>41</v>
      </c>
      <c r="G134" s="7">
        <v>45883</v>
      </c>
      <c r="H134" s="2" t="s">
        <v>121</v>
      </c>
      <c r="I134" s="2" t="s">
        <v>22</v>
      </c>
      <c r="J134" s="4">
        <v>3.4889999999999999</v>
      </c>
      <c r="K134" s="6">
        <v>6.7</v>
      </c>
      <c r="L134">
        <v>76079</v>
      </c>
      <c r="M134">
        <v>2.0099999999999998</v>
      </c>
      <c r="N134">
        <v>97.46</v>
      </c>
      <c r="O134">
        <v>0.53</v>
      </c>
      <c r="P134">
        <v>1898380</v>
      </c>
    </row>
    <row r="135" spans="1:16">
      <c r="A135" s="2" t="s">
        <v>134</v>
      </c>
      <c r="B135" s="2" t="s">
        <v>34</v>
      </c>
      <c r="C135" s="2">
        <v>6.8</v>
      </c>
      <c r="D135" s="2" t="s">
        <v>24</v>
      </c>
      <c r="E135" s="2">
        <v>14</v>
      </c>
      <c r="F135" s="2" t="s">
        <v>41</v>
      </c>
      <c r="G135" s="7">
        <v>45883</v>
      </c>
      <c r="H135" s="2" t="s">
        <v>121</v>
      </c>
      <c r="I135" s="2" t="s">
        <v>22</v>
      </c>
      <c r="J135" s="4">
        <v>3.1030000000000002</v>
      </c>
      <c r="K135" s="6">
        <v>6.78</v>
      </c>
      <c r="L135">
        <v>76084</v>
      </c>
      <c r="M135">
        <v>2</v>
      </c>
      <c r="N135">
        <v>97.5</v>
      </c>
      <c r="O135">
        <v>0.5</v>
      </c>
      <c r="P135">
        <v>1689024</v>
      </c>
    </row>
    <row r="136" spans="1:16">
      <c r="A136" s="2" t="s">
        <v>135</v>
      </c>
      <c r="B136" s="2" t="s">
        <v>34</v>
      </c>
      <c r="C136" s="2">
        <v>6.8</v>
      </c>
      <c r="D136" s="2" t="s">
        <v>26</v>
      </c>
      <c r="E136" s="2">
        <v>15</v>
      </c>
      <c r="F136" s="2" t="s">
        <v>41</v>
      </c>
      <c r="G136" s="7">
        <v>45883</v>
      </c>
      <c r="H136" s="2" t="s">
        <v>121</v>
      </c>
      <c r="I136" s="2" t="s">
        <v>22</v>
      </c>
      <c r="J136" s="4">
        <v>3.2749999999999999</v>
      </c>
      <c r="K136" s="6">
        <v>6.78</v>
      </c>
      <c r="L136">
        <v>76089</v>
      </c>
      <c r="M136">
        <v>1.97</v>
      </c>
      <c r="N136">
        <v>97.45</v>
      </c>
      <c r="O136">
        <v>0.57999999999999996</v>
      </c>
      <c r="P136">
        <v>1819996</v>
      </c>
    </row>
    <row r="137" spans="1:16">
      <c r="A137" s="2" t="s">
        <v>136</v>
      </c>
      <c r="B137" s="2" t="s">
        <v>19</v>
      </c>
      <c r="C137" s="2">
        <v>6.5</v>
      </c>
      <c r="D137" s="2" t="s">
        <v>20</v>
      </c>
      <c r="E137" s="2">
        <v>1</v>
      </c>
      <c r="F137" s="2" t="s">
        <v>21</v>
      </c>
      <c r="H137" s="2">
        <v>3</v>
      </c>
      <c r="J137" s="4"/>
      <c r="K137" s="6"/>
      <c r="L137" s="6"/>
    </row>
    <row r="138" spans="1:16">
      <c r="A138" s="2" t="s">
        <v>137</v>
      </c>
      <c r="B138" s="2" t="s">
        <v>19</v>
      </c>
      <c r="C138" s="2">
        <v>6.5</v>
      </c>
      <c r="D138" s="2" t="s">
        <v>24</v>
      </c>
      <c r="E138" s="2">
        <v>2</v>
      </c>
      <c r="F138" s="2" t="s">
        <v>21</v>
      </c>
      <c r="H138" s="2">
        <v>3</v>
      </c>
      <c r="J138" s="4"/>
      <c r="K138" s="6"/>
      <c r="L138" s="6"/>
    </row>
    <row r="139" spans="1:16">
      <c r="A139" s="2" t="s">
        <v>138</v>
      </c>
      <c r="B139" s="2" t="s">
        <v>19</v>
      </c>
      <c r="C139" s="2">
        <v>6.5</v>
      </c>
      <c r="D139" s="2" t="s">
        <v>26</v>
      </c>
      <c r="E139" s="2">
        <v>3</v>
      </c>
      <c r="F139" s="2" t="s">
        <v>21</v>
      </c>
      <c r="H139" s="2">
        <v>3</v>
      </c>
      <c r="J139" s="4"/>
      <c r="K139" s="6"/>
      <c r="L139" s="6"/>
    </row>
    <row r="140" spans="1:16">
      <c r="A140" s="2" t="s">
        <v>139</v>
      </c>
      <c r="B140" s="2" t="s">
        <v>19</v>
      </c>
      <c r="C140" s="2">
        <v>7</v>
      </c>
      <c r="D140" s="2" t="s">
        <v>20</v>
      </c>
      <c r="E140" s="2">
        <v>4</v>
      </c>
      <c r="F140" s="2" t="s">
        <v>21</v>
      </c>
      <c r="H140" s="2">
        <v>3</v>
      </c>
      <c r="J140" s="4"/>
      <c r="K140" s="6"/>
      <c r="L140" s="6"/>
    </row>
    <row r="141" spans="1:16">
      <c r="A141" s="2" t="s">
        <v>140</v>
      </c>
      <c r="B141" s="2" t="s">
        <v>19</v>
      </c>
      <c r="C141" s="2">
        <v>7</v>
      </c>
      <c r="D141" s="2" t="s">
        <v>24</v>
      </c>
      <c r="E141" s="2">
        <v>5</v>
      </c>
      <c r="F141" s="2" t="s">
        <v>21</v>
      </c>
      <c r="H141" s="2">
        <v>3</v>
      </c>
      <c r="J141" s="4"/>
      <c r="K141" s="6"/>
      <c r="L141" s="6"/>
    </row>
    <row r="142" spans="1:16">
      <c r="A142" s="2" t="s">
        <v>141</v>
      </c>
      <c r="B142" s="2" t="s">
        <v>19</v>
      </c>
      <c r="C142" s="2">
        <v>7</v>
      </c>
      <c r="D142" s="2" t="s">
        <v>26</v>
      </c>
      <c r="E142" s="2">
        <v>6</v>
      </c>
      <c r="F142" s="2" t="s">
        <v>21</v>
      </c>
      <c r="H142" s="2">
        <v>3</v>
      </c>
      <c r="J142" s="4"/>
      <c r="K142" s="6"/>
      <c r="L142" s="6"/>
    </row>
    <row r="143" spans="1:16">
      <c r="A143" s="2" t="s">
        <v>142</v>
      </c>
      <c r="B143" s="2" t="s">
        <v>19</v>
      </c>
      <c r="C143" s="2">
        <v>7.5</v>
      </c>
      <c r="D143" s="2" t="s">
        <v>20</v>
      </c>
      <c r="E143" s="2">
        <v>7</v>
      </c>
      <c r="F143" s="2" t="s">
        <v>21</v>
      </c>
      <c r="H143" s="2">
        <v>3</v>
      </c>
      <c r="J143" s="4"/>
      <c r="K143" s="6"/>
      <c r="L143" s="6"/>
    </row>
    <row r="144" spans="1:16">
      <c r="A144" s="2" t="s">
        <v>143</v>
      </c>
      <c r="B144" s="2" t="s">
        <v>19</v>
      </c>
      <c r="C144" s="2">
        <v>7.5</v>
      </c>
      <c r="D144" s="2" t="s">
        <v>24</v>
      </c>
      <c r="E144" s="2">
        <v>8</v>
      </c>
      <c r="F144" s="2" t="s">
        <v>21</v>
      </c>
      <c r="H144" s="2">
        <v>3</v>
      </c>
      <c r="J144" s="4"/>
      <c r="K144" s="6"/>
      <c r="L144" s="6"/>
    </row>
    <row r="145" spans="1:12">
      <c r="A145" s="2" t="s">
        <v>144</v>
      </c>
      <c r="B145" s="2" t="s">
        <v>19</v>
      </c>
      <c r="C145" s="2">
        <v>7.5</v>
      </c>
      <c r="D145" s="2" t="s">
        <v>26</v>
      </c>
      <c r="E145" s="2">
        <v>9</v>
      </c>
      <c r="F145" s="2" t="s">
        <v>21</v>
      </c>
      <c r="H145" s="2">
        <v>3</v>
      </c>
      <c r="J145" s="4"/>
      <c r="K145" s="6"/>
      <c r="L145" s="6"/>
    </row>
    <row r="146" spans="1:12">
      <c r="A146" s="2" t="s">
        <v>145</v>
      </c>
      <c r="B146" s="2" t="s">
        <v>34</v>
      </c>
      <c r="C146" s="2">
        <v>6.2</v>
      </c>
      <c r="D146" s="2" t="s">
        <v>20</v>
      </c>
      <c r="E146" s="2">
        <v>10</v>
      </c>
      <c r="F146" s="2" t="s">
        <v>21</v>
      </c>
      <c r="H146" s="2">
        <v>3</v>
      </c>
      <c r="J146" s="4"/>
      <c r="K146" s="6"/>
      <c r="L146" s="6"/>
    </row>
    <row r="147" spans="1:12">
      <c r="A147" s="2" t="s">
        <v>146</v>
      </c>
      <c r="B147" s="2" t="s">
        <v>34</v>
      </c>
      <c r="C147" s="2">
        <v>6.2</v>
      </c>
      <c r="D147" s="2" t="s">
        <v>24</v>
      </c>
      <c r="E147" s="2">
        <v>11</v>
      </c>
      <c r="F147" s="2" t="s">
        <v>21</v>
      </c>
      <c r="H147" s="2">
        <v>3</v>
      </c>
      <c r="J147" s="4"/>
      <c r="K147" s="6"/>
      <c r="L147" s="6"/>
    </row>
    <row r="148" spans="1:12">
      <c r="A148" s="2" t="s">
        <v>147</v>
      </c>
      <c r="B148" s="2" t="s">
        <v>34</v>
      </c>
      <c r="C148" s="2">
        <v>6.2</v>
      </c>
      <c r="D148" s="2" t="s">
        <v>26</v>
      </c>
      <c r="E148" s="2">
        <v>12</v>
      </c>
      <c r="F148" s="2" t="s">
        <v>21</v>
      </c>
      <c r="H148" s="2">
        <v>3</v>
      </c>
      <c r="J148" s="4"/>
      <c r="K148" s="6"/>
      <c r="L148" s="6"/>
    </row>
    <row r="149" spans="1:12">
      <c r="A149" s="2" t="s">
        <v>148</v>
      </c>
      <c r="B149" s="2" t="s">
        <v>34</v>
      </c>
      <c r="C149" s="2">
        <v>6.8</v>
      </c>
      <c r="D149" s="2" t="s">
        <v>20</v>
      </c>
      <c r="E149" s="2">
        <v>13</v>
      </c>
      <c r="F149" s="2" t="s">
        <v>21</v>
      </c>
      <c r="H149" s="2">
        <v>3</v>
      </c>
      <c r="J149" s="4"/>
      <c r="K149" s="6"/>
      <c r="L149" s="6"/>
    </row>
    <row r="150" spans="1:12">
      <c r="A150" s="2" t="s">
        <v>149</v>
      </c>
      <c r="B150" s="2" t="s">
        <v>34</v>
      </c>
      <c r="C150" s="2">
        <v>6.8</v>
      </c>
      <c r="D150" s="2" t="s">
        <v>24</v>
      </c>
      <c r="E150" s="2">
        <v>14</v>
      </c>
      <c r="F150" s="2" t="s">
        <v>21</v>
      </c>
      <c r="H150" s="2">
        <v>3</v>
      </c>
      <c r="J150" s="4"/>
      <c r="K150" s="6"/>
      <c r="L150" s="6"/>
    </row>
    <row r="151" spans="1:12">
      <c r="A151" s="2" t="s">
        <v>150</v>
      </c>
      <c r="B151" s="2" t="s">
        <v>34</v>
      </c>
      <c r="C151" s="2">
        <v>6.8</v>
      </c>
      <c r="D151" s="2" t="s">
        <v>26</v>
      </c>
      <c r="E151" s="2">
        <v>15</v>
      </c>
      <c r="F151" s="2" t="s">
        <v>21</v>
      </c>
      <c r="H151" s="2">
        <v>3</v>
      </c>
      <c r="J151" s="4"/>
      <c r="K151" s="6"/>
      <c r="L151" s="6"/>
    </row>
    <row r="152" spans="1:12">
      <c r="J152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449A-1EFE-41F7-BA63-ED88A733758E}">
  <dimension ref="A1:K20"/>
  <sheetViews>
    <sheetView tabSelected="1" zoomScale="63" workbookViewId="0">
      <selection activeCell="Q53" sqref="Q53"/>
    </sheetView>
  </sheetViews>
  <sheetFormatPr defaultRowHeight="15"/>
  <cols>
    <col min="1" max="1" width="17.42578125" style="2" bestFit="1" customWidth="1"/>
    <col min="2" max="2" width="20.5703125" style="2" bestFit="1" customWidth="1"/>
    <col min="3" max="4" width="5" style="2" bestFit="1" customWidth="1"/>
    <col min="5" max="5" width="2.5703125" style="2" customWidth="1"/>
    <col min="6" max="6" width="3.5703125" style="2" customWidth="1"/>
    <col min="7" max="7" width="3.42578125" style="2" customWidth="1"/>
    <col min="8" max="8" width="2.85546875" style="2" bestFit="1" customWidth="1"/>
    <col min="9" max="9" width="10.42578125" bestFit="1" customWidth="1"/>
    <col min="11" max="11" width="13" style="2" bestFit="1" customWidth="1"/>
  </cols>
  <sheetData>
    <row r="1" spans="1:11">
      <c r="A1" s="9" t="s">
        <v>5</v>
      </c>
      <c r="B1" s="2" t="s">
        <v>151</v>
      </c>
    </row>
    <row r="3" spans="1:11">
      <c r="A3" s="9" t="s">
        <v>152</v>
      </c>
      <c r="B3" s="9" t="s">
        <v>153</v>
      </c>
      <c r="E3"/>
      <c r="F3"/>
      <c r="G3"/>
      <c r="H3"/>
    </row>
    <row r="4" spans="1:11">
      <c r="A4" s="9" t="s">
        <v>154</v>
      </c>
      <c r="B4" s="2">
        <v>0</v>
      </c>
      <c r="C4" s="2">
        <v>0.13</v>
      </c>
      <c r="D4" s="2">
        <v>0.23</v>
      </c>
      <c r="E4"/>
      <c r="F4"/>
      <c r="G4"/>
      <c r="H4"/>
      <c r="K4" s="8" t="s">
        <v>155</v>
      </c>
    </row>
    <row r="5" spans="1:11">
      <c r="A5" s="2">
        <v>1</v>
      </c>
      <c r="B5" s="2">
        <v>1.94</v>
      </c>
      <c r="C5" s="2">
        <v>2.5299999999999998</v>
      </c>
      <c r="D5" s="2">
        <v>2.54</v>
      </c>
      <c r="E5"/>
      <c r="F5"/>
      <c r="G5"/>
      <c r="H5"/>
      <c r="K5" s="6">
        <f>SLOPE(B5:D5,$B$4:$D$4)</f>
        <v>2.7030075187969924</v>
      </c>
    </row>
    <row r="6" spans="1:11">
      <c r="A6" s="2">
        <v>2</v>
      </c>
      <c r="B6" s="2">
        <v>1.94</v>
      </c>
      <c r="C6" s="2">
        <v>2.19</v>
      </c>
      <c r="D6" s="2">
        <v>2.23</v>
      </c>
      <c r="E6"/>
      <c r="F6"/>
      <c r="G6"/>
      <c r="H6"/>
      <c r="K6" s="6">
        <f t="shared" ref="K6:K19" si="0">SLOPE(B6:D6,$B$4:$D$4)</f>
        <v>1.2932330827067671</v>
      </c>
    </row>
    <row r="7" spans="1:11">
      <c r="A7" s="2">
        <v>3</v>
      </c>
      <c r="B7" s="2">
        <v>1.92</v>
      </c>
      <c r="C7" s="2">
        <v>2.41</v>
      </c>
      <c r="D7" s="2">
        <v>2.38</v>
      </c>
      <c r="E7"/>
      <c r="F7"/>
      <c r="G7"/>
      <c r="H7"/>
      <c r="K7" s="6">
        <f t="shared" si="0"/>
        <v>2.0864661654135341</v>
      </c>
    </row>
    <row r="8" spans="1:11">
      <c r="A8" s="2">
        <v>4</v>
      </c>
      <c r="B8" s="2">
        <v>1.88</v>
      </c>
      <c r="C8" s="2">
        <v>2.67</v>
      </c>
      <c r="D8" s="2">
        <v>1.62</v>
      </c>
      <c r="E8"/>
      <c r="F8"/>
      <c r="G8"/>
      <c r="H8"/>
      <c r="K8" s="6">
        <f t="shared" si="0"/>
        <v>-0.77819548872180355</v>
      </c>
    </row>
    <row r="9" spans="1:11">
      <c r="A9" s="2">
        <v>5</v>
      </c>
      <c r="B9" s="2">
        <v>1.89</v>
      </c>
      <c r="C9" s="2">
        <v>2.27</v>
      </c>
      <c r="D9" s="2">
        <v>2.4300000000000002</v>
      </c>
      <c r="E9"/>
      <c r="F9"/>
      <c r="G9"/>
      <c r="H9"/>
      <c r="K9" s="6">
        <f t="shared" si="0"/>
        <v>2.3759398496240611</v>
      </c>
    </row>
    <row r="10" spans="1:11">
      <c r="A10" s="2">
        <v>6</v>
      </c>
      <c r="B10" s="2">
        <v>1.88</v>
      </c>
      <c r="C10" s="2">
        <v>2.54</v>
      </c>
      <c r="D10" s="2">
        <v>2.4700000000000002</v>
      </c>
      <c r="E10"/>
      <c r="F10"/>
      <c r="G10"/>
      <c r="H10"/>
      <c r="K10" s="6">
        <f t="shared" si="0"/>
        <v>2.6879699248120312</v>
      </c>
    </row>
    <row r="11" spans="1:11">
      <c r="A11" s="2">
        <v>7</v>
      </c>
      <c r="B11" s="2">
        <v>1.98</v>
      </c>
      <c r="C11" s="2">
        <v>2.82</v>
      </c>
      <c r="D11" s="2">
        <v>2.72</v>
      </c>
      <c r="E11"/>
      <c r="F11"/>
      <c r="G11"/>
      <c r="H11"/>
      <c r="K11" s="6">
        <f t="shared" si="0"/>
        <v>3.3759398496240607</v>
      </c>
    </row>
    <row r="12" spans="1:11">
      <c r="A12" s="2">
        <v>8</v>
      </c>
      <c r="B12" s="2">
        <v>1.93</v>
      </c>
      <c r="C12" s="2">
        <v>2.4</v>
      </c>
      <c r="D12" s="2">
        <v>2.46</v>
      </c>
      <c r="E12"/>
      <c r="F12"/>
      <c r="G12"/>
      <c r="H12"/>
      <c r="K12" s="6">
        <f t="shared" si="0"/>
        <v>2.3684210526315788</v>
      </c>
    </row>
    <row r="13" spans="1:11">
      <c r="A13" s="2">
        <v>9</v>
      </c>
      <c r="B13" s="2">
        <v>1.99</v>
      </c>
      <c r="C13" s="2">
        <v>2.64</v>
      </c>
      <c r="D13" s="2">
        <v>2.44</v>
      </c>
      <c r="E13"/>
      <c r="F13"/>
      <c r="G13"/>
      <c r="H13"/>
      <c r="K13" s="6">
        <f t="shared" si="0"/>
        <v>2.1052631578947363</v>
      </c>
    </row>
    <row r="14" spans="1:11">
      <c r="A14" s="2">
        <v>10</v>
      </c>
      <c r="B14" s="2">
        <v>1.92</v>
      </c>
      <c r="C14" s="2">
        <v>2.27</v>
      </c>
      <c r="D14" s="2">
        <v>2.36</v>
      </c>
      <c r="E14"/>
      <c r="F14"/>
      <c r="G14"/>
      <c r="H14"/>
      <c r="K14" s="6">
        <f t="shared" si="0"/>
        <v>1.9511278195488719</v>
      </c>
    </row>
    <row r="15" spans="1:11">
      <c r="A15" s="2">
        <v>11</v>
      </c>
      <c r="B15" s="2">
        <v>1.89</v>
      </c>
      <c r="C15" s="2">
        <v>2.1</v>
      </c>
      <c r="D15" s="2">
        <v>2.25</v>
      </c>
      <c r="E15"/>
      <c r="F15"/>
      <c r="G15"/>
      <c r="H15"/>
      <c r="K15" s="6">
        <f t="shared" si="0"/>
        <v>1.5676691729323313</v>
      </c>
    </row>
    <row r="16" spans="1:11">
      <c r="A16" s="2">
        <v>12</v>
      </c>
      <c r="B16" s="2">
        <v>1.87</v>
      </c>
      <c r="C16" s="2">
        <v>2.17</v>
      </c>
      <c r="D16" s="2">
        <v>2.39</v>
      </c>
      <c r="E16"/>
      <c r="F16"/>
      <c r="G16"/>
      <c r="H16"/>
      <c r="K16" s="6">
        <f t="shared" si="0"/>
        <v>2.263157894736842</v>
      </c>
    </row>
    <row r="17" spans="1:11">
      <c r="A17" s="2">
        <v>13</v>
      </c>
      <c r="B17" s="2">
        <v>1.88</v>
      </c>
      <c r="C17" s="2">
        <v>2.41</v>
      </c>
      <c r="D17" s="2">
        <v>2.5499999999999998</v>
      </c>
      <c r="E17"/>
      <c r="F17"/>
      <c r="G17"/>
      <c r="H17"/>
      <c r="K17" s="6">
        <f t="shared" si="0"/>
        <v>2.9699248120300745</v>
      </c>
    </row>
    <row r="18" spans="1:11">
      <c r="A18" s="2">
        <v>14</v>
      </c>
      <c r="B18" s="2">
        <v>1.92</v>
      </c>
      <c r="C18" s="2">
        <v>2.1800000000000002</v>
      </c>
      <c r="D18" s="2">
        <v>2.25</v>
      </c>
      <c r="E18"/>
      <c r="F18"/>
      <c r="G18"/>
      <c r="H18"/>
      <c r="K18" s="6">
        <f t="shared" si="0"/>
        <v>1.4624060150375944</v>
      </c>
    </row>
    <row r="19" spans="1:11">
      <c r="A19" s="2">
        <v>15</v>
      </c>
      <c r="B19" s="2">
        <v>1.91</v>
      </c>
      <c r="C19" s="2">
        <v>2.2599999999999998</v>
      </c>
      <c r="D19" s="2">
        <v>2.4</v>
      </c>
      <c r="E19"/>
      <c r="F19"/>
      <c r="G19"/>
      <c r="H19"/>
      <c r="K19" s="6">
        <f t="shared" si="0"/>
        <v>2.1578947368421053</v>
      </c>
    </row>
    <row r="20" spans="1:11">
      <c r="A20"/>
      <c r="B20"/>
      <c r="C20"/>
      <c r="D20"/>
      <c r="E20"/>
      <c r="F20"/>
      <c r="G20"/>
    </row>
  </sheetData>
  <conditionalFormatting sqref="K5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5210-9261-48BD-964A-3E89C04C2991}">
  <dimension ref="A1:K19"/>
  <sheetViews>
    <sheetView view="pageBreakPreview" topLeftCell="L1" zoomScale="70" zoomScaleNormal="100" zoomScaleSheetLayoutView="70" workbookViewId="0">
      <selection activeCell="R54" sqref="R54"/>
    </sheetView>
  </sheetViews>
  <sheetFormatPr defaultRowHeight="15"/>
  <cols>
    <col min="1" max="1" width="15.85546875" style="2" bestFit="1" customWidth="1"/>
    <col min="2" max="2" width="19.140625" style="2" bestFit="1" customWidth="1"/>
    <col min="3" max="4" width="6" style="2" bestFit="1" customWidth="1"/>
    <col min="5" max="6" width="4.85546875" style="2" bestFit="1" customWidth="1"/>
    <col min="7" max="7" width="1.85546875" style="2" bestFit="1" customWidth="1"/>
    <col min="8" max="8" width="2.85546875" style="2" bestFit="1" customWidth="1"/>
    <col min="9" max="9" width="10.42578125" bestFit="1" customWidth="1"/>
    <col min="11" max="11" width="13" style="2" bestFit="1" customWidth="1"/>
  </cols>
  <sheetData>
    <row r="1" spans="1:11">
      <c r="A1" s="9" t="s">
        <v>5</v>
      </c>
      <c r="B1" s="2" t="s">
        <v>151</v>
      </c>
    </row>
    <row r="3" spans="1:11">
      <c r="A3" s="9" t="s">
        <v>156</v>
      </c>
      <c r="B3" s="9" t="s">
        <v>153</v>
      </c>
      <c r="E3"/>
      <c r="F3"/>
      <c r="G3"/>
      <c r="H3"/>
    </row>
    <row r="4" spans="1:11">
      <c r="A4" s="9" t="s">
        <v>154</v>
      </c>
      <c r="B4" s="2">
        <v>0</v>
      </c>
      <c r="C4" s="2">
        <v>0.13</v>
      </c>
      <c r="D4" s="2">
        <v>0.23</v>
      </c>
      <c r="E4"/>
      <c r="F4"/>
      <c r="G4"/>
      <c r="H4"/>
      <c r="K4" s="8" t="s">
        <v>157</v>
      </c>
    </row>
    <row r="5" spans="1:11">
      <c r="A5" s="2">
        <v>1</v>
      </c>
      <c r="B5" s="2">
        <v>97.75</v>
      </c>
      <c r="C5" s="2">
        <v>96.71</v>
      </c>
      <c r="D5" s="2">
        <v>96.18</v>
      </c>
      <c r="E5"/>
      <c r="F5"/>
      <c r="G5"/>
      <c r="H5"/>
      <c r="K5" s="6">
        <f>SLOPE(B5:D5,$B$4:$D$4)</f>
        <v>-6.8834586466165151</v>
      </c>
    </row>
    <row r="6" spans="1:11">
      <c r="A6" s="2">
        <v>2</v>
      </c>
      <c r="B6" s="2">
        <v>97.71</v>
      </c>
      <c r="C6" s="2">
        <v>97.08</v>
      </c>
      <c r="D6" s="2">
        <v>96.78</v>
      </c>
      <c r="E6"/>
      <c r="F6"/>
      <c r="G6"/>
      <c r="H6"/>
      <c r="K6" s="6">
        <f t="shared" ref="K6:K19" si="0">SLOPE(B6:D6,$B$4:$D$4)</f>
        <v>-4.0827067669172603</v>
      </c>
    </row>
    <row r="7" spans="1:11">
      <c r="A7" s="2">
        <v>3</v>
      </c>
      <c r="B7" s="2">
        <v>97.72</v>
      </c>
      <c r="C7" s="2">
        <v>96.52</v>
      </c>
      <c r="D7" s="2">
        <v>95.93</v>
      </c>
      <c r="E7"/>
      <c r="F7"/>
      <c r="G7"/>
      <c r="H7"/>
      <c r="K7" s="6">
        <f t="shared" si="0"/>
        <v>-7.8533834586465838</v>
      </c>
    </row>
    <row r="8" spans="1:11">
      <c r="A8" s="2">
        <v>4</v>
      </c>
      <c r="B8" s="2">
        <v>97.69</v>
      </c>
      <c r="C8" s="2">
        <v>96.13</v>
      </c>
      <c r="D8" s="2">
        <v>94.58</v>
      </c>
      <c r="E8"/>
      <c r="F8"/>
      <c r="G8"/>
      <c r="H8"/>
      <c r="K8" s="6">
        <f t="shared" si="0"/>
        <v>-13.447368421052632</v>
      </c>
    </row>
    <row r="9" spans="1:11">
      <c r="A9" s="2">
        <v>5</v>
      </c>
      <c r="B9" s="2">
        <v>97.64</v>
      </c>
      <c r="C9" s="2">
        <v>96.82</v>
      </c>
      <c r="D9" s="2">
        <v>96.11</v>
      </c>
      <c r="E9"/>
      <c r="F9"/>
      <c r="G9"/>
      <c r="H9"/>
      <c r="K9" s="6">
        <f t="shared" si="0"/>
        <v>-6.6353383458646693</v>
      </c>
    </row>
    <row r="10" spans="1:11">
      <c r="A10" s="2">
        <v>6</v>
      </c>
      <c r="B10" s="2">
        <v>97.67</v>
      </c>
      <c r="C10" s="2">
        <v>95.79</v>
      </c>
      <c r="D10" s="2">
        <v>94.89</v>
      </c>
      <c r="E10"/>
      <c r="F10"/>
      <c r="G10"/>
      <c r="H10"/>
      <c r="K10" s="6">
        <f t="shared" si="0"/>
        <v>-12.203007518796996</v>
      </c>
    </row>
    <row r="11" spans="1:11">
      <c r="A11" s="2">
        <v>7</v>
      </c>
      <c r="B11" s="2">
        <v>97.61</v>
      </c>
      <c r="C11" s="2">
        <v>95.38</v>
      </c>
      <c r="D11" s="2">
        <v>94.13</v>
      </c>
      <c r="E11"/>
      <c r="F11"/>
      <c r="G11"/>
      <c r="H11"/>
      <c r="K11" s="6">
        <f t="shared" si="0"/>
        <v>-15.229323308270693</v>
      </c>
    </row>
    <row r="12" spans="1:11">
      <c r="A12" s="2">
        <v>8</v>
      </c>
      <c r="B12" s="2">
        <v>97.63</v>
      </c>
      <c r="C12" s="2">
        <v>96.22</v>
      </c>
      <c r="D12" s="2">
        <v>95.19</v>
      </c>
      <c r="E12"/>
      <c r="F12"/>
      <c r="G12"/>
      <c r="H12"/>
      <c r="K12" s="6">
        <f t="shared" si="0"/>
        <v>-10.620300751879689</v>
      </c>
    </row>
    <row r="13" spans="1:11">
      <c r="A13" s="2">
        <v>9</v>
      </c>
      <c r="B13" s="2">
        <v>97.59</v>
      </c>
      <c r="C13" s="2">
        <v>95.13</v>
      </c>
      <c r="D13" s="2">
        <v>93.69</v>
      </c>
      <c r="E13"/>
      <c r="F13"/>
      <c r="G13"/>
      <c r="H13"/>
      <c r="K13" s="6">
        <f t="shared" si="0"/>
        <v>-17.052631578947395</v>
      </c>
    </row>
    <row r="14" spans="1:11">
      <c r="A14" s="2">
        <v>10</v>
      </c>
      <c r="B14" s="2">
        <v>97.65</v>
      </c>
      <c r="C14" s="2">
        <v>97.06</v>
      </c>
      <c r="D14" s="2">
        <v>96.88</v>
      </c>
      <c r="E14"/>
      <c r="F14"/>
      <c r="G14"/>
      <c r="H14"/>
      <c r="K14" s="6">
        <f t="shared" si="0"/>
        <v>-3.4060150375940283</v>
      </c>
    </row>
    <row r="15" spans="1:11">
      <c r="A15" s="2">
        <v>11</v>
      </c>
      <c r="B15" s="2">
        <v>97.67</v>
      </c>
      <c r="C15" s="2">
        <v>97.24</v>
      </c>
      <c r="D15" s="2">
        <v>96.77</v>
      </c>
      <c r="E15"/>
      <c r="F15"/>
      <c r="G15"/>
      <c r="H15"/>
      <c r="K15" s="6">
        <f t="shared" si="0"/>
        <v>-3.883458646616567</v>
      </c>
    </row>
    <row r="16" spans="1:11">
      <c r="A16" s="2">
        <v>12</v>
      </c>
      <c r="B16" s="2">
        <v>97.7</v>
      </c>
      <c r="C16" s="2">
        <v>97.13</v>
      </c>
      <c r="D16" s="2">
        <v>96.73</v>
      </c>
      <c r="E16"/>
      <c r="F16"/>
      <c r="G16"/>
      <c r="H16"/>
      <c r="K16" s="6">
        <f t="shared" si="0"/>
        <v>-4.2255639097744337</v>
      </c>
    </row>
    <row r="17" spans="1:11">
      <c r="A17" s="2">
        <v>13</v>
      </c>
      <c r="B17" s="2">
        <v>97.65</v>
      </c>
      <c r="C17" s="2">
        <v>96.86</v>
      </c>
      <c r="D17" s="2">
        <v>96.44</v>
      </c>
      <c r="E17"/>
      <c r="F17"/>
      <c r="G17"/>
      <c r="H17"/>
      <c r="K17" s="6">
        <f t="shared" si="0"/>
        <v>-5.3007518796992841</v>
      </c>
    </row>
    <row r="18" spans="1:11">
      <c r="A18" s="2">
        <v>14</v>
      </c>
      <c r="B18" s="2">
        <v>97.6</v>
      </c>
      <c r="C18" s="2">
        <v>97.01</v>
      </c>
      <c r="D18" s="2">
        <v>96.7</v>
      </c>
      <c r="E18"/>
      <c r="F18"/>
      <c r="G18"/>
      <c r="H18"/>
      <c r="K18" s="6">
        <f t="shared" si="0"/>
        <v>-3.9436090225563514</v>
      </c>
    </row>
    <row r="19" spans="1:11">
      <c r="A19" s="2">
        <v>15</v>
      </c>
      <c r="B19" s="2">
        <v>97.59</v>
      </c>
      <c r="C19" s="2">
        <v>97</v>
      </c>
      <c r="D19" s="2">
        <v>96.47</v>
      </c>
      <c r="E19"/>
      <c r="F19"/>
      <c r="G19"/>
      <c r="H19"/>
      <c r="K19" s="6">
        <f t="shared" si="0"/>
        <v>-4.8533834586466371</v>
      </c>
    </row>
  </sheetData>
  <conditionalFormatting sqref="K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9076-4B06-4897-85E4-BD0293192F50}">
  <dimension ref="A1:K19"/>
  <sheetViews>
    <sheetView topLeftCell="A2" zoomScale="81" workbookViewId="0">
      <selection activeCell="K14" sqref="K14:K19"/>
    </sheetView>
  </sheetViews>
  <sheetFormatPr defaultRowHeight="15"/>
  <cols>
    <col min="1" max="1" width="14.7109375" style="2" bestFit="1" customWidth="1"/>
    <col min="2" max="2" width="17.85546875" style="2" bestFit="1" customWidth="1"/>
    <col min="3" max="6" width="4.85546875" style="2" bestFit="1" customWidth="1"/>
    <col min="7" max="7" width="1.85546875" style="2" bestFit="1" customWidth="1"/>
    <col min="8" max="8" width="2.85546875" style="2" bestFit="1" customWidth="1"/>
    <col min="9" max="9" width="10.42578125" bestFit="1" customWidth="1"/>
    <col min="11" max="11" width="13" style="2" bestFit="1" customWidth="1"/>
  </cols>
  <sheetData>
    <row r="1" spans="1:11">
      <c r="A1" s="9" t="s">
        <v>5</v>
      </c>
      <c r="B1" s="2" t="s">
        <v>151</v>
      </c>
    </row>
    <row r="3" spans="1:11">
      <c r="A3" s="9" t="s">
        <v>158</v>
      </c>
      <c r="B3" s="9" t="s">
        <v>153</v>
      </c>
      <c r="E3"/>
      <c r="F3"/>
      <c r="G3"/>
      <c r="H3"/>
    </row>
    <row r="4" spans="1:11">
      <c r="A4" s="9" t="s">
        <v>154</v>
      </c>
      <c r="B4" s="2">
        <v>0</v>
      </c>
      <c r="C4" s="2">
        <v>0.13</v>
      </c>
      <c r="D4" s="2">
        <v>0.23</v>
      </c>
      <c r="E4"/>
      <c r="F4"/>
      <c r="G4"/>
      <c r="H4"/>
      <c r="K4" s="8" t="s">
        <v>159</v>
      </c>
    </row>
    <row r="5" spans="1:11">
      <c r="A5" s="2">
        <v>1</v>
      </c>
      <c r="B5" s="2">
        <v>0.31</v>
      </c>
      <c r="C5" s="2">
        <v>0.76</v>
      </c>
      <c r="D5" s="2">
        <v>1.28</v>
      </c>
      <c r="E5"/>
      <c r="F5"/>
      <c r="G5"/>
      <c r="H5"/>
      <c r="K5" s="6">
        <f>SLOPE(B5:D5,$B$4:$D$4)</f>
        <v>4.1804511278195484</v>
      </c>
    </row>
    <row r="6" spans="1:11">
      <c r="A6" s="2">
        <v>2</v>
      </c>
      <c r="B6" s="2">
        <v>0.35</v>
      </c>
      <c r="C6" s="2">
        <v>0.73</v>
      </c>
      <c r="D6" s="2">
        <v>0.99</v>
      </c>
      <c r="E6"/>
      <c r="F6"/>
      <c r="G6"/>
      <c r="H6"/>
      <c r="K6" s="6">
        <f t="shared" ref="K6:K19" si="0">SLOPE(B6:D6,$B$4:$D$4)</f>
        <v>2.7894736842105261</v>
      </c>
    </row>
    <row r="7" spans="1:11">
      <c r="A7" s="2">
        <v>3</v>
      </c>
      <c r="B7" s="2">
        <v>0.36</v>
      </c>
      <c r="C7" s="2">
        <v>1.08</v>
      </c>
      <c r="D7" s="2">
        <v>1.68</v>
      </c>
      <c r="E7"/>
      <c r="F7"/>
      <c r="G7"/>
      <c r="H7"/>
      <c r="K7" s="6">
        <f t="shared" si="0"/>
        <v>5.7293233082706765</v>
      </c>
    </row>
    <row r="8" spans="1:11">
      <c r="A8" s="2">
        <v>4</v>
      </c>
      <c r="B8" s="2">
        <v>0.43</v>
      </c>
      <c r="C8" s="2">
        <v>1.2</v>
      </c>
      <c r="D8" s="2">
        <v>3.8</v>
      </c>
      <c r="E8"/>
      <c r="F8"/>
      <c r="G8"/>
      <c r="H8"/>
      <c r="K8" s="6">
        <f t="shared" si="0"/>
        <v>14.225563909774435</v>
      </c>
    </row>
    <row r="9" spans="1:11">
      <c r="A9" s="2">
        <v>5</v>
      </c>
      <c r="B9" s="2">
        <v>0.46</v>
      </c>
      <c r="C9" s="2">
        <v>0.92</v>
      </c>
      <c r="D9" s="2">
        <v>1.46</v>
      </c>
      <c r="E9"/>
      <c r="F9"/>
      <c r="G9"/>
      <c r="H9"/>
      <c r="K9" s="6">
        <f t="shared" si="0"/>
        <v>4.3082706766917296</v>
      </c>
    </row>
    <row r="10" spans="1:11">
      <c r="A10" s="2">
        <v>6</v>
      </c>
      <c r="B10" s="2">
        <v>0.45</v>
      </c>
      <c r="C10" s="2">
        <v>1.67</v>
      </c>
      <c r="D10" s="2">
        <v>2.63</v>
      </c>
      <c r="E10"/>
      <c r="F10"/>
      <c r="G10"/>
      <c r="H10"/>
      <c r="K10" s="6">
        <f t="shared" si="0"/>
        <v>9.473684210526315</v>
      </c>
    </row>
    <row r="11" spans="1:11">
      <c r="A11" s="2">
        <v>7</v>
      </c>
      <c r="B11" s="2">
        <v>0.41</v>
      </c>
      <c r="C11" s="2">
        <v>1.8</v>
      </c>
      <c r="D11" s="2">
        <v>3.15</v>
      </c>
      <c r="E11"/>
      <c r="F11"/>
      <c r="G11"/>
      <c r="H11"/>
      <c r="K11" s="6">
        <f t="shared" si="0"/>
        <v>11.853383458646617</v>
      </c>
    </row>
    <row r="12" spans="1:11">
      <c r="A12" s="2">
        <v>8</v>
      </c>
      <c r="B12" s="2">
        <v>0.44</v>
      </c>
      <c r="C12" s="2">
        <v>1.38</v>
      </c>
      <c r="D12" s="2">
        <v>2.35</v>
      </c>
      <c r="E12"/>
      <c r="F12"/>
      <c r="G12"/>
      <c r="H12"/>
      <c r="K12" s="6">
        <f t="shared" si="0"/>
        <v>8.2518796992481214</v>
      </c>
    </row>
    <row r="13" spans="1:11">
      <c r="A13" s="2">
        <v>9</v>
      </c>
      <c r="B13" s="2">
        <v>0.41</v>
      </c>
      <c r="C13" s="2">
        <v>2.23</v>
      </c>
      <c r="D13" s="2">
        <v>3.88</v>
      </c>
      <c r="E13"/>
      <c r="F13"/>
      <c r="G13"/>
      <c r="H13"/>
      <c r="K13" s="6">
        <f t="shared" si="0"/>
        <v>15.033834586466165</v>
      </c>
    </row>
    <row r="14" spans="1:11">
      <c r="A14" s="2">
        <v>10</v>
      </c>
      <c r="B14" s="2">
        <v>0.43</v>
      </c>
      <c r="C14" s="2">
        <v>0.67</v>
      </c>
      <c r="D14" s="2">
        <v>0.76</v>
      </c>
      <c r="E14"/>
      <c r="F14"/>
      <c r="G14"/>
      <c r="H14"/>
      <c r="K14" s="6">
        <f t="shared" si="0"/>
        <v>1.4548872180451129</v>
      </c>
    </row>
    <row r="15" spans="1:11">
      <c r="A15" s="2">
        <v>11</v>
      </c>
      <c r="B15" s="2">
        <v>0.44</v>
      </c>
      <c r="C15" s="2">
        <v>0.67</v>
      </c>
      <c r="D15" s="2">
        <v>0.98</v>
      </c>
      <c r="E15"/>
      <c r="F15"/>
      <c r="G15"/>
      <c r="H15"/>
      <c r="K15" s="6">
        <f t="shared" si="0"/>
        <v>2.3195488721804511</v>
      </c>
    </row>
    <row r="16" spans="1:11">
      <c r="A16" s="2">
        <v>12</v>
      </c>
      <c r="B16" s="2">
        <v>0.43</v>
      </c>
      <c r="C16" s="2">
        <v>0.7</v>
      </c>
      <c r="D16" s="2">
        <v>0.88</v>
      </c>
      <c r="E16"/>
      <c r="F16"/>
      <c r="G16"/>
      <c r="H16"/>
      <c r="K16" s="6">
        <f t="shared" si="0"/>
        <v>1.9624060150375942</v>
      </c>
    </row>
    <row r="17" spans="1:11">
      <c r="A17" s="2">
        <v>13</v>
      </c>
      <c r="B17" s="2">
        <v>0.46</v>
      </c>
      <c r="C17" s="2">
        <v>0.73</v>
      </c>
      <c r="D17" s="2">
        <v>1.01</v>
      </c>
      <c r="E17"/>
      <c r="F17"/>
      <c r="G17"/>
      <c r="H17"/>
      <c r="K17" s="6">
        <f t="shared" si="0"/>
        <v>2.3759398496240602</v>
      </c>
    </row>
    <row r="18" spans="1:11">
      <c r="A18" s="2">
        <v>14</v>
      </c>
      <c r="B18" s="2">
        <v>0.48</v>
      </c>
      <c r="C18" s="2">
        <v>0.81</v>
      </c>
      <c r="D18" s="2">
        <v>1.05</v>
      </c>
      <c r="E18"/>
      <c r="F18"/>
      <c r="G18"/>
      <c r="H18"/>
      <c r="K18" s="6">
        <f t="shared" si="0"/>
        <v>2.481203007518797</v>
      </c>
    </row>
    <row r="19" spans="1:11">
      <c r="A19" s="2">
        <v>15</v>
      </c>
      <c r="B19" s="2">
        <v>0.5</v>
      </c>
      <c r="C19" s="2">
        <v>0.74</v>
      </c>
      <c r="D19" s="2">
        <v>1.1299999999999999</v>
      </c>
      <c r="E19"/>
      <c r="F19"/>
      <c r="G19"/>
      <c r="H19"/>
      <c r="K19" s="6">
        <f t="shared" si="0"/>
        <v>2.6954887218045105</v>
      </c>
    </row>
  </sheetData>
  <conditionalFormatting sqref="K5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B66B-372D-4E20-BC8E-67EFDDD84179}">
  <dimension ref="A1:K19"/>
  <sheetViews>
    <sheetView topLeftCell="K1" zoomScale="74" workbookViewId="0">
      <selection activeCell="A18" sqref="A18:XFD18"/>
    </sheetView>
  </sheetViews>
  <sheetFormatPr defaultRowHeight="15"/>
  <cols>
    <col min="1" max="1" width="14.140625" bestFit="1" customWidth="1"/>
    <col min="2" max="2" width="17.28515625" bestFit="1" customWidth="1"/>
    <col min="3" max="4" width="5" bestFit="1" customWidth="1"/>
    <col min="5" max="5" width="2" bestFit="1" customWidth="1"/>
    <col min="6" max="6" width="6.85546875" bestFit="1" customWidth="1"/>
    <col min="7" max="7" width="1.85546875" style="2" bestFit="1" customWidth="1"/>
    <col min="8" max="8" width="4.85546875" style="2" bestFit="1" customWidth="1"/>
    <col min="9" max="9" width="4.85546875" bestFit="1" customWidth="1"/>
    <col min="11" max="11" width="13" style="2" bestFit="1" customWidth="1"/>
  </cols>
  <sheetData>
    <row r="1" spans="1:11">
      <c r="A1" s="10" t="s">
        <v>5</v>
      </c>
      <c r="B1" t="s">
        <v>21</v>
      </c>
    </row>
    <row r="3" spans="1:11">
      <c r="A3" s="10" t="s">
        <v>152</v>
      </c>
      <c r="B3" s="10" t="s">
        <v>153</v>
      </c>
      <c r="G3"/>
      <c r="H3"/>
    </row>
    <row r="4" spans="1:11">
      <c r="A4" s="10" t="s">
        <v>154</v>
      </c>
      <c r="B4">
        <v>0</v>
      </c>
      <c r="C4">
        <v>0.23</v>
      </c>
      <c r="D4">
        <v>0.46</v>
      </c>
      <c r="E4">
        <v>3</v>
      </c>
      <c r="F4" t="s">
        <v>160</v>
      </c>
      <c r="G4"/>
      <c r="H4"/>
      <c r="K4" s="8" t="s">
        <v>155</v>
      </c>
    </row>
    <row r="5" spans="1:11">
      <c r="A5" s="11">
        <v>1</v>
      </c>
      <c r="B5">
        <v>1.94</v>
      </c>
      <c r="C5">
        <v>2.2200000000000002</v>
      </c>
      <c r="D5">
        <v>2.23</v>
      </c>
      <c r="G5"/>
      <c r="H5"/>
      <c r="K5" s="6">
        <f>SLOPE(B5:D5,$B$4:$D$4)</f>
        <v>0.63043478260869568</v>
      </c>
    </row>
    <row r="6" spans="1:11">
      <c r="A6" s="11">
        <v>2</v>
      </c>
      <c r="B6">
        <v>1.94</v>
      </c>
      <c r="C6">
        <v>1.99</v>
      </c>
      <c r="D6">
        <v>2.08</v>
      </c>
      <c r="G6"/>
      <c r="H6"/>
      <c r="K6" s="6">
        <f t="shared" ref="K6:K19" si="0">SLOPE(B6:D6,$B$4:$D$4)</f>
        <v>0.30434782608695682</v>
      </c>
    </row>
    <row r="7" spans="1:11">
      <c r="A7" s="11">
        <v>3</v>
      </c>
      <c r="B7">
        <v>1.92</v>
      </c>
      <c r="C7">
        <v>2.14</v>
      </c>
      <c r="D7">
        <v>2.1800000000000002</v>
      </c>
      <c r="G7"/>
      <c r="H7"/>
      <c r="K7" s="6">
        <f t="shared" si="0"/>
        <v>0.56521739130434834</v>
      </c>
    </row>
    <row r="8" spans="1:11">
      <c r="A8" s="11">
        <v>4</v>
      </c>
      <c r="B8">
        <v>1.88</v>
      </c>
      <c r="C8">
        <v>2.19</v>
      </c>
      <c r="D8">
        <v>2.06</v>
      </c>
      <c r="G8"/>
      <c r="H8"/>
      <c r="K8" s="6">
        <f t="shared" si="0"/>
        <v>0.39130434782608731</v>
      </c>
    </row>
    <row r="9" spans="1:11">
      <c r="A9" s="11">
        <v>5</v>
      </c>
      <c r="B9">
        <v>1.89</v>
      </c>
      <c r="C9">
        <v>2.0499999999999998</v>
      </c>
      <c r="D9">
        <v>2.16</v>
      </c>
      <c r="G9"/>
      <c r="H9"/>
      <c r="K9" s="6">
        <f t="shared" si="0"/>
        <v>0.58695652173913093</v>
      </c>
    </row>
    <row r="10" spans="1:11">
      <c r="A10" s="11">
        <v>6</v>
      </c>
      <c r="B10">
        <v>1.88</v>
      </c>
      <c r="C10">
        <v>2.17</v>
      </c>
      <c r="D10">
        <v>2.2599999999999998</v>
      </c>
      <c r="G10"/>
      <c r="H10"/>
      <c r="K10" s="6">
        <f t="shared" si="0"/>
        <v>0.82608695652173891</v>
      </c>
    </row>
    <row r="11" spans="1:11">
      <c r="A11" s="11">
        <v>7</v>
      </c>
      <c r="B11">
        <v>1.98</v>
      </c>
      <c r="C11">
        <v>2.36</v>
      </c>
      <c r="D11">
        <v>2.5</v>
      </c>
      <c r="G11"/>
      <c r="H11"/>
      <c r="K11" s="6">
        <f t="shared" si="0"/>
        <v>1.1304347826086958</v>
      </c>
    </row>
    <row r="12" spans="1:11">
      <c r="A12" s="11">
        <v>8</v>
      </c>
      <c r="B12">
        <v>1.93</v>
      </c>
      <c r="C12">
        <v>2.16</v>
      </c>
      <c r="D12">
        <v>2.31</v>
      </c>
      <c r="G12"/>
      <c r="H12"/>
      <c r="K12" s="6">
        <f t="shared" si="0"/>
        <v>0.82608695652173936</v>
      </c>
    </row>
    <row r="13" spans="1:11">
      <c r="A13" s="11">
        <v>9</v>
      </c>
      <c r="B13">
        <v>1.99</v>
      </c>
      <c r="C13">
        <v>2.25</v>
      </c>
      <c r="D13">
        <v>2.27</v>
      </c>
      <c r="G13"/>
      <c r="H13"/>
      <c r="K13" s="6">
        <f t="shared" si="0"/>
        <v>0.60869565217391308</v>
      </c>
    </row>
    <row r="14" spans="1:11">
      <c r="A14" s="11">
        <v>10</v>
      </c>
      <c r="B14">
        <v>1.92</v>
      </c>
      <c r="C14">
        <v>2.06</v>
      </c>
      <c r="D14">
        <v>2.13</v>
      </c>
      <c r="G14"/>
      <c r="H14"/>
      <c r="K14" s="6">
        <f t="shared" si="0"/>
        <v>0.4565217391304347</v>
      </c>
    </row>
    <row r="15" spans="1:11">
      <c r="A15" s="11">
        <v>11</v>
      </c>
      <c r="B15">
        <v>1.89</v>
      </c>
      <c r="C15">
        <v>1.97</v>
      </c>
      <c r="D15">
        <v>2.02</v>
      </c>
      <c r="G15"/>
      <c r="H15"/>
      <c r="K15" s="6">
        <f t="shared" si="0"/>
        <v>0.28260869565217417</v>
      </c>
    </row>
    <row r="16" spans="1:11">
      <c r="A16" s="11">
        <v>12</v>
      </c>
      <c r="B16">
        <v>1.87</v>
      </c>
      <c r="C16">
        <v>2.02</v>
      </c>
      <c r="D16">
        <v>2.1</v>
      </c>
      <c r="G16"/>
      <c r="H16"/>
      <c r="K16" s="6">
        <f t="shared" si="0"/>
        <v>0.5</v>
      </c>
    </row>
    <row r="17" spans="1:11">
      <c r="A17" s="11">
        <v>13</v>
      </c>
      <c r="B17">
        <v>1.88</v>
      </c>
      <c r="C17">
        <v>2.15</v>
      </c>
      <c r="D17">
        <v>2.25</v>
      </c>
      <c r="G17"/>
      <c r="H17"/>
      <c r="K17" s="6">
        <f t="shared" si="0"/>
        <v>0.80434782608695665</v>
      </c>
    </row>
    <row r="18" spans="1:11">
      <c r="A18" s="11">
        <v>14</v>
      </c>
      <c r="B18">
        <v>1.92</v>
      </c>
      <c r="C18">
        <v>2.1</v>
      </c>
      <c r="D18">
        <v>2.09</v>
      </c>
      <c r="G18"/>
      <c r="H18"/>
      <c r="K18" s="6">
        <f t="shared" si="0"/>
        <v>0.36956521739130416</v>
      </c>
    </row>
    <row r="19" spans="1:11">
      <c r="A19" s="11">
        <v>15</v>
      </c>
      <c r="B19">
        <v>1.91</v>
      </c>
      <c r="C19">
        <v>2.11</v>
      </c>
      <c r="D19">
        <v>2.17</v>
      </c>
      <c r="G19"/>
      <c r="H19"/>
      <c r="K19" s="6">
        <f t="shared" si="0"/>
        <v>0.56521739130434789</v>
      </c>
    </row>
  </sheetData>
  <conditionalFormatting sqref="K5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A1E5-5D4F-45FD-B561-363E2CBBBC02}">
  <dimension ref="A1:K19"/>
  <sheetViews>
    <sheetView zoomScale="47" workbookViewId="0">
      <selection activeCell="K35" sqref="K35"/>
    </sheetView>
  </sheetViews>
  <sheetFormatPr defaultRowHeight="15"/>
  <cols>
    <col min="1" max="1" width="18.5703125" bestFit="1" customWidth="1"/>
    <col min="2" max="2" width="22.42578125" bestFit="1" customWidth="1"/>
    <col min="3" max="4" width="7.140625" bestFit="1" customWidth="1"/>
    <col min="5" max="5" width="3" bestFit="1" customWidth="1"/>
    <col min="6" max="6" width="9" bestFit="1" customWidth="1"/>
    <col min="7" max="7" width="1.85546875" style="2" bestFit="1" customWidth="1"/>
    <col min="8" max="8" width="2.85546875" style="2" bestFit="1" customWidth="1"/>
    <col min="9" max="9" width="10.42578125" bestFit="1" customWidth="1"/>
    <col min="11" max="11" width="13" style="2" bestFit="1" customWidth="1"/>
  </cols>
  <sheetData>
    <row r="1" spans="1:11">
      <c r="A1" s="10" t="s">
        <v>5</v>
      </c>
      <c r="B1" t="s">
        <v>21</v>
      </c>
    </row>
    <row r="3" spans="1:11">
      <c r="A3" s="10" t="s">
        <v>156</v>
      </c>
      <c r="B3" s="10" t="s">
        <v>153</v>
      </c>
      <c r="G3"/>
      <c r="H3"/>
    </row>
    <row r="4" spans="1:11">
      <c r="A4" s="10" t="s">
        <v>154</v>
      </c>
      <c r="B4">
        <v>0</v>
      </c>
      <c r="C4">
        <v>0.23</v>
      </c>
      <c r="D4">
        <v>0.46</v>
      </c>
      <c r="E4">
        <v>3</v>
      </c>
      <c r="F4" t="s">
        <v>160</v>
      </c>
      <c r="G4"/>
      <c r="H4"/>
      <c r="K4" s="8" t="s">
        <v>157</v>
      </c>
    </row>
    <row r="5" spans="1:11">
      <c r="A5" s="11">
        <v>1</v>
      </c>
      <c r="B5">
        <v>97.75</v>
      </c>
      <c r="C5">
        <v>97.32</v>
      </c>
      <c r="D5">
        <v>97.36</v>
      </c>
      <c r="G5"/>
      <c r="H5"/>
      <c r="K5" s="6">
        <f>SLOPE(B5:D5,$B$4:$D$4)</f>
        <v>-0.84782608695652306</v>
      </c>
    </row>
    <row r="6" spans="1:11">
      <c r="A6" s="11">
        <v>2</v>
      </c>
      <c r="B6">
        <v>97.71</v>
      </c>
      <c r="C6">
        <v>97.63</v>
      </c>
      <c r="D6">
        <v>97.49</v>
      </c>
      <c r="G6"/>
      <c r="H6"/>
      <c r="K6" s="6">
        <f t="shared" ref="K6:K19" si="0">SLOPE(B6:D6,$B$4:$D$4)</f>
        <v>-0.47826086956521491</v>
      </c>
    </row>
    <row r="7" spans="1:11">
      <c r="A7" s="11">
        <v>3</v>
      </c>
      <c r="B7">
        <v>97.72</v>
      </c>
      <c r="C7">
        <v>97.33</v>
      </c>
      <c r="D7">
        <v>97.2</v>
      </c>
      <c r="G7"/>
      <c r="H7"/>
      <c r="K7" s="6">
        <f t="shared" si="0"/>
        <v>-1.1304347826086871</v>
      </c>
    </row>
    <row r="8" spans="1:11">
      <c r="A8" s="11">
        <v>4</v>
      </c>
      <c r="B8">
        <v>97.69</v>
      </c>
      <c r="C8">
        <v>97.33</v>
      </c>
      <c r="D8">
        <v>96.11</v>
      </c>
      <c r="G8"/>
      <c r="H8"/>
      <c r="K8" s="6">
        <f t="shared" si="0"/>
        <v>-3.4347826086956483</v>
      </c>
    </row>
    <row r="9" spans="1:11">
      <c r="A9" s="11">
        <v>5</v>
      </c>
      <c r="B9">
        <v>97.64</v>
      </c>
      <c r="C9">
        <v>97.45</v>
      </c>
      <c r="D9">
        <v>97.28</v>
      </c>
      <c r="G9"/>
      <c r="H9"/>
      <c r="K9" s="6">
        <f t="shared" si="0"/>
        <v>-0.78260869565217273</v>
      </c>
    </row>
    <row r="10" spans="1:11">
      <c r="A10" s="11">
        <v>6</v>
      </c>
      <c r="B10">
        <v>97.67</v>
      </c>
      <c r="C10">
        <v>97.3</v>
      </c>
      <c r="D10">
        <v>96.96</v>
      </c>
      <c r="G10"/>
      <c r="H10"/>
      <c r="K10" s="6">
        <f t="shared" si="0"/>
        <v>-1.5434782608695825</v>
      </c>
    </row>
    <row r="11" spans="1:11">
      <c r="A11" s="11">
        <v>7</v>
      </c>
      <c r="B11">
        <v>97.61</v>
      </c>
      <c r="C11">
        <v>97</v>
      </c>
      <c r="D11">
        <v>96.79</v>
      </c>
      <c r="G11"/>
      <c r="H11"/>
      <c r="K11" s="6">
        <f t="shared" si="0"/>
        <v>-1.782608695652159</v>
      </c>
    </row>
    <row r="12" spans="1:11">
      <c r="A12" s="11">
        <v>8</v>
      </c>
      <c r="B12">
        <v>97.63</v>
      </c>
      <c r="C12">
        <v>97.21</v>
      </c>
      <c r="D12">
        <v>96.87</v>
      </c>
      <c r="G12"/>
      <c r="H12"/>
      <c r="K12" s="6">
        <f t="shared" si="0"/>
        <v>-1.6521739130434583</v>
      </c>
    </row>
    <row r="13" spans="1:11">
      <c r="A13" s="11">
        <v>9</v>
      </c>
      <c r="B13">
        <v>97.59</v>
      </c>
      <c r="C13">
        <v>97.13</v>
      </c>
      <c r="D13">
        <v>96.81</v>
      </c>
      <c r="G13"/>
      <c r="H13"/>
      <c r="K13" s="6">
        <f t="shared" si="0"/>
        <v>-1.6956521739130461</v>
      </c>
    </row>
    <row r="14" spans="1:11">
      <c r="A14" s="11">
        <v>10</v>
      </c>
      <c r="B14">
        <v>97.65</v>
      </c>
      <c r="C14">
        <v>97.49</v>
      </c>
      <c r="D14">
        <v>97.43</v>
      </c>
      <c r="G14"/>
      <c r="H14"/>
      <c r="K14" s="6">
        <f t="shared" si="0"/>
        <v>-0.47826086956521491</v>
      </c>
    </row>
    <row r="15" spans="1:11">
      <c r="A15" s="11">
        <v>11</v>
      </c>
      <c r="B15">
        <v>97.67</v>
      </c>
      <c r="C15">
        <v>97.5</v>
      </c>
      <c r="D15">
        <v>97.5</v>
      </c>
      <c r="G15"/>
      <c r="H15"/>
      <c r="K15" s="6">
        <f t="shared" si="0"/>
        <v>-0.36956521739130804</v>
      </c>
    </row>
    <row r="16" spans="1:11">
      <c r="A16" s="11">
        <v>12</v>
      </c>
      <c r="B16">
        <v>97.7</v>
      </c>
      <c r="C16">
        <v>97.47</v>
      </c>
      <c r="D16">
        <v>97.4</v>
      </c>
      <c r="G16"/>
      <c r="H16"/>
      <c r="K16" s="6">
        <f t="shared" si="0"/>
        <v>-0.65217391304347216</v>
      </c>
    </row>
    <row r="17" spans="1:11">
      <c r="A17" s="11">
        <v>13</v>
      </c>
      <c r="B17">
        <v>97.65</v>
      </c>
      <c r="C17">
        <v>97.39</v>
      </c>
      <c r="D17">
        <v>97.22</v>
      </c>
      <c r="G17"/>
      <c r="H17"/>
      <c r="K17" s="6">
        <f t="shared" si="0"/>
        <v>-0.93478260869566698</v>
      </c>
    </row>
    <row r="18" spans="1:11">
      <c r="A18" s="11">
        <v>14</v>
      </c>
      <c r="B18">
        <v>97.6</v>
      </c>
      <c r="C18">
        <v>97.39</v>
      </c>
      <c r="D18">
        <v>97.38</v>
      </c>
      <c r="G18"/>
      <c r="H18"/>
      <c r="K18" s="6">
        <f t="shared" si="0"/>
        <v>-0.47826086956521491</v>
      </c>
    </row>
    <row r="19" spans="1:11">
      <c r="A19" s="11">
        <v>15</v>
      </c>
      <c r="B19">
        <v>97.59</v>
      </c>
      <c r="C19">
        <v>97.34</v>
      </c>
      <c r="D19">
        <v>97.33</v>
      </c>
      <c r="G19"/>
      <c r="H19"/>
      <c r="K19" s="6">
        <f t="shared" si="0"/>
        <v>-0.56521739130435888</v>
      </c>
    </row>
  </sheetData>
  <conditionalFormatting sqref="K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410C-0C21-4CA4-8D18-6836D436D893}">
  <dimension ref="A1:K19"/>
  <sheetViews>
    <sheetView zoomScale="64" workbookViewId="0">
      <selection activeCell="K24" sqref="K24"/>
    </sheetView>
  </sheetViews>
  <sheetFormatPr defaultRowHeight="15"/>
  <cols>
    <col min="1" max="1" width="14.140625" bestFit="1" customWidth="1"/>
    <col min="2" max="2" width="17.28515625" bestFit="1" customWidth="1"/>
    <col min="3" max="4" width="5" bestFit="1" customWidth="1"/>
    <col min="5" max="5" width="2" bestFit="1" customWidth="1"/>
    <col min="6" max="6" width="6.85546875" bestFit="1" customWidth="1"/>
    <col min="7" max="7" width="1.85546875" style="2" bestFit="1" customWidth="1"/>
    <col min="8" max="8" width="2.85546875" style="2" bestFit="1" customWidth="1"/>
    <col min="9" max="9" width="10.42578125" bestFit="1" customWidth="1"/>
    <col min="11" max="11" width="13" style="2" bestFit="1" customWidth="1"/>
  </cols>
  <sheetData>
    <row r="1" spans="1:11">
      <c r="A1" s="10" t="s">
        <v>5</v>
      </c>
      <c r="B1" t="s">
        <v>21</v>
      </c>
    </row>
    <row r="3" spans="1:11">
      <c r="A3" s="10" t="s">
        <v>158</v>
      </c>
      <c r="B3" s="10" t="s">
        <v>153</v>
      </c>
      <c r="G3"/>
      <c r="H3"/>
    </row>
    <row r="4" spans="1:11">
      <c r="A4" s="10" t="s">
        <v>154</v>
      </c>
      <c r="B4">
        <v>0</v>
      </c>
      <c r="C4">
        <v>0.23</v>
      </c>
      <c r="D4">
        <v>0.46</v>
      </c>
      <c r="E4">
        <v>3</v>
      </c>
      <c r="F4" t="s">
        <v>160</v>
      </c>
      <c r="G4"/>
      <c r="H4"/>
      <c r="K4" s="8" t="s">
        <v>159</v>
      </c>
    </row>
    <row r="5" spans="1:11">
      <c r="A5" s="11">
        <v>1</v>
      </c>
      <c r="B5">
        <v>0.31</v>
      </c>
      <c r="C5">
        <v>0.45</v>
      </c>
      <c r="D5">
        <v>0.4</v>
      </c>
      <c r="G5"/>
      <c r="H5"/>
      <c r="K5" s="6">
        <f>SLOPE(B5:D5,$B$4:$D$4)</f>
        <v>0.19565217391304354</v>
      </c>
    </row>
    <row r="6" spans="1:11">
      <c r="A6" s="11">
        <v>2</v>
      </c>
      <c r="B6">
        <v>0.35</v>
      </c>
      <c r="C6">
        <v>0.38</v>
      </c>
      <c r="D6">
        <v>0.43</v>
      </c>
      <c r="G6"/>
      <c r="H6"/>
      <c r="K6" s="6">
        <f t="shared" ref="K6:K19" si="0">SLOPE(B6:D6,$B$4:$D$4)</f>
        <v>0.17391304347826089</v>
      </c>
    </row>
    <row r="7" spans="1:11">
      <c r="A7" s="11">
        <v>3</v>
      </c>
      <c r="B7">
        <v>0.36</v>
      </c>
      <c r="C7">
        <v>0.53</v>
      </c>
      <c r="D7">
        <v>0.62</v>
      </c>
      <c r="G7"/>
      <c r="H7"/>
      <c r="K7" s="6">
        <f t="shared" si="0"/>
        <v>0.56521739130434789</v>
      </c>
    </row>
    <row r="8" spans="1:11">
      <c r="A8" s="11">
        <v>4</v>
      </c>
      <c r="B8">
        <v>0.43</v>
      </c>
      <c r="C8">
        <v>0.48</v>
      </c>
      <c r="D8">
        <v>1.83</v>
      </c>
      <c r="G8"/>
      <c r="H8"/>
      <c r="K8" s="6">
        <f t="shared" si="0"/>
        <v>3.0434782608695659</v>
      </c>
    </row>
    <row r="9" spans="1:11">
      <c r="A9" s="11">
        <v>5</v>
      </c>
      <c r="B9">
        <v>0.46</v>
      </c>
      <c r="C9">
        <v>0.5</v>
      </c>
      <c r="D9">
        <v>0.56000000000000005</v>
      </c>
      <c r="G9"/>
      <c r="H9"/>
      <c r="K9" s="6">
        <f t="shared" si="0"/>
        <v>0.21739130434782614</v>
      </c>
    </row>
    <row r="10" spans="1:11">
      <c r="A10" s="11">
        <v>6</v>
      </c>
      <c r="B10">
        <v>0.45</v>
      </c>
      <c r="C10">
        <v>0.52</v>
      </c>
      <c r="D10">
        <v>0.77</v>
      </c>
      <c r="G10"/>
      <c r="H10"/>
      <c r="K10" s="6">
        <f t="shared" si="0"/>
        <v>0.69565217391304346</v>
      </c>
    </row>
    <row r="11" spans="1:11">
      <c r="A11" s="11">
        <v>7</v>
      </c>
      <c r="B11">
        <v>0.41</v>
      </c>
      <c r="C11">
        <v>0.64</v>
      </c>
      <c r="D11">
        <v>0.71</v>
      </c>
      <c r="G11"/>
      <c r="H11"/>
      <c r="K11" s="6">
        <f t="shared" si="0"/>
        <v>0.65217391304347827</v>
      </c>
    </row>
    <row r="12" spans="1:11">
      <c r="A12" s="11">
        <v>8</v>
      </c>
      <c r="B12">
        <v>0.44</v>
      </c>
      <c r="C12">
        <v>0.63</v>
      </c>
      <c r="D12">
        <v>0.82</v>
      </c>
      <c r="G12"/>
      <c r="H12"/>
      <c r="K12" s="6">
        <f t="shared" si="0"/>
        <v>0.82608695652173902</v>
      </c>
    </row>
    <row r="13" spans="1:11">
      <c r="A13" s="11">
        <v>9</v>
      </c>
      <c r="B13">
        <v>0.41</v>
      </c>
      <c r="C13">
        <v>0.62</v>
      </c>
      <c r="D13">
        <v>0.91</v>
      </c>
      <c r="G13"/>
      <c r="H13"/>
      <c r="K13" s="6">
        <f t="shared" si="0"/>
        <v>1.0869565217391306</v>
      </c>
    </row>
    <row r="14" spans="1:11">
      <c r="A14" s="11">
        <v>10</v>
      </c>
      <c r="B14">
        <v>0.43</v>
      </c>
      <c r="C14">
        <v>0.45</v>
      </c>
      <c r="D14">
        <v>0.43</v>
      </c>
      <c r="G14"/>
      <c r="H14"/>
      <c r="K14" s="6">
        <f t="shared" si="0"/>
        <v>0</v>
      </c>
    </row>
    <row r="15" spans="1:11">
      <c r="A15" s="11">
        <v>11</v>
      </c>
      <c r="B15">
        <v>0.44</v>
      </c>
      <c r="C15">
        <v>0.54</v>
      </c>
      <c r="D15">
        <v>0.48</v>
      </c>
      <c r="G15"/>
      <c r="H15"/>
      <c r="K15" s="6">
        <f t="shared" si="0"/>
        <v>8.6956521739130377E-2</v>
      </c>
    </row>
    <row r="16" spans="1:11">
      <c r="A16" s="11">
        <v>12</v>
      </c>
      <c r="B16">
        <v>0.43</v>
      </c>
      <c r="C16">
        <v>0.51</v>
      </c>
      <c r="D16">
        <v>0.5</v>
      </c>
      <c r="G16"/>
      <c r="H16"/>
      <c r="K16" s="6">
        <f t="shared" si="0"/>
        <v>0.15217391304347827</v>
      </c>
    </row>
    <row r="17" spans="1:11">
      <c r="A17" s="11">
        <v>13</v>
      </c>
      <c r="B17">
        <v>0.46</v>
      </c>
      <c r="C17">
        <v>0.46</v>
      </c>
      <c r="D17">
        <v>0.52</v>
      </c>
      <c r="G17"/>
      <c r="H17"/>
      <c r="K17" s="6">
        <f t="shared" si="0"/>
        <v>0.13043478260869565</v>
      </c>
    </row>
    <row r="18" spans="1:11">
      <c r="A18" s="11">
        <v>14</v>
      </c>
      <c r="B18">
        <v>0.48</v>
      </c>
      <c r="C18">
        <v>0.51</v>
      </c>
      <c r="D18">
        <v>0.53</v>
      </c>
      <c r="G18"/>
      <c r="H18"/>
      <c r="K18" s="6">
        <f t="shared" si="0"/>
        <v>0.10869565217391314</v>
      </c>
    </row>
    <row r="19" spans="1:11">
      <c r="A19" s="11">
        <v>15</v>
      </c>
      <c r="B19">
        <v>0.5</v>
      </c>
      <c r="C19">
        <v>0.55000000000000004</v>
      </c>
      <c r="D19">
        <v>0.5</v>
      </c>
      <c r="G19"/>
      <c r="H19"/>
      <c r="K19" s="6">
        <f t="shared" si="0"/>
        <v>0</v>
      </c>
    </row>
  </sheetData>
  <conditionalFormatting sqref="K5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287A-C845-4858-BDF1-77D5E7C8B7B2}">
  <dimension ref="A1:K19"/>
  <sheetViews>
    <sheetView workbookViewId="0">
      <selection activeCell="A12" sqref="A12"/>
    </sheetView>
  </sheetViews>
  <sheetFormatPr defaultRowHeight="15"/>
  <cols>
    <col min="1" max="1" width="14.7109375" style="2" bestFit="1" customWidth="1"/>
    <col min="2" max="2" width="17.85546875" style="2" bestFit="1" customWidth="1"/>
    <col min="3" max="5" width="4.85546875" style="2" bestFit="1" customWidth="1"/>
    <col min="6" max="7" width="1.85546875" style="2" bestFit="1" customWidth="1"/>
    <col min="8" max="8" width="2.85546875" style="2" bestFit="1" customWidth="1"/>
    <col min="9" max="9" width="10.42578125" bestFit="1" customWidth="1"/>
    <col min="11" max="11" width="13" style="2" bestFit="1" customWidth="1"/>
  </cols>
  <sheetData>
    <row r="1" spans="1:11">
      <c r="A1" s="9" t="s">
        <v>5</v>
      </c>
      <c r="B1" s="2" t="s">
        <v>41</v>
      </c>
    </row>
    <row r="3" spans="1:11">
      <c r="A3" s="9" t="s">
        <v>152</v>
      </c>
      <c r="B3" s="9" t="s">
        <v>153</v>
      </c>
      <c r="D3"/>
      <c r="E3"/>
      <c r="F3"/>
      <c r="G3"/>
      <c r="H3"/>
    </row>
    <row r="4" spans="1:11">
      <c r="A4" s="9" t="s">
        <v>154</v>
      </c>
      <c r="B4" s="2" t="s">
        <v>121</v>
      </c>
      <c r="C4" s="2" t="s">
        <v>42</v>
      </c>
      <c r="D4"/>
      <c r="E4"/>
      <c r="F4"/>
      <c r="G4"/>
      <c r="H4"/>
      <c r="K4" s="8" t="s">
        <v>161</v>
      </c>
    </row>
    <row r="5" spans="1:11">
      <c r="A5" s="2">
        <v>1</v>
      </c>
      <c r="B5" s="2">
        <v>2.04</v>
      </c>
      <c r="C5" s="2">
        <v>1.94</v>
      </c>
      <c r="D5"/>
      <c r="E5"/>
      <c r="F5"/>
      <c r="G5"/>
      <c r="H5"/>
      <c r="K5" s="6">
        <f>B5-C5</f>
        <v>0.10000000000000009</v>
      </c>
    </row>
    <row r="6" spans="1:11">
      <c r="A6" s="2">
        <v>2</v>
      </c>
      <c r="B6" s="2">
        <v>1.96</v>
      </c>
      <c r="C6" s="2">
        <v>1.94</v>
      </c>
      <c r="D6"/>
      <c r="E6"/>
      <c r="F6"/>
      <c r="G6"/>
      <c r="H6"/>
      <c r="K6" s="6">
        <f t="shared" ref="K6:K19" si="0">B6-C6</f>
        <v>2.0000000000000018E-2</v>
      </c>
    </row>
    <row r="7" spans="1:11">
      <c r="A7" s="2">
        <v>3</v>
      </c>
      <c r="B7" s="2">
        <v>2.1</v>
      </c>
      <c r="C7" s="2">
        <v>1.92</v>
      </c>
      <c r="D7"/>
      <c r="E7"/>
      <c r="F7"/>
      <c r="G7"/>
      <c r="H7"/>
      <c r="K7" s="6">
        <f t="shared" si="0"/>
        <v>0.18000000000000016</v>
      </c>
    </row>
    <row r="8" spans="1:11">
      <c r="A8" s="2">
        <v>4</v>
      </c>
      <c r="B8" s="2">
        <v>2.1</v>
      </c>
      <c r="C8" s="2">
        <v>1.88</v>
      </c>
      <c r="D8"/>
      <c r="E8"/>
      <c r="F8"/>
      <c r="G8"/>
      <c r="H8"/>
      <c r="K8" s="6">
        <f t="shared" si="0"/>
        <v>0.2200000000000002</v>
      </c>
    </row>
    <row r="9" spans="1:11">
      <c r="A9" s="2">
        <v>5</v>
      </c>
      <c r="B9" s="2">
        <v>1.95</v>
      </c>
      <c r="C9" s="2">
        <v>1.89</v>
      </c>
      <c r="D9"/>
      <c r="E9"/>
      <c r="F9"/>
      <c r="G9"/>
      <c r="H9"/>
      <c r="K9" s="6">
        <f t="shared" si="0"/>
        <v>6.0000000000000053E-2</v>
      </c>
    </row>
    <row r="10" spans="1:11">
      <c r="A10" s="2">
        <v>6</v>
      </c>
      <c r="B10" s="2">
        <v>1.73</v>
      </c>
      <c r="C10" s="2">
        <v>1.88</v>
      </c>
      <c r="D10"/>
      <c r="E10"/>
      <c r="F10"/>
      <c r="G10"/>
      <c r="H10"/>
      <c r="K10" s="6">
        <f t="shared" si="0"/>
        <v>-0.14999999999999991</v>
      </c>
    </row>
    <row r="11" spans="1:11">
      <c r="A11" s="2">
        <v>7</v>
      </c>
      <c r="B11" s="2">
        <v>2.2599999999999998</v>
      </c>
      <c r="C11" s="2">
        <v>1.98</v>
      </c>
      <c r="D11"/>
      <c r="E11"/>
      <c r="F11"/>
      <c r="G11"/>
      <c r="H11"/>
      <c r="K11" s="6">
        <f t="shared" si="0"/>
        <v>0.2799999999999998</v>
      </c>
    </row>
    <row r="12" spans="1:11">
      <c r="A12" s="2">
        <v>8</v>
      </c>
      <c r="B12" s="2">
        <v>2.02</v>
      </c>
      <c r="C12" s="2">
        <v>1.93</v>
      </c>
      <c r="D12"/>
      <c r="E12"/>
      <c r="F12"/>
      <c r="G12"/>
      <c r="H12"/>
      <c r="K12" s="6">
        <f t="shared" si="0"/>
        <v>9.000000000000008E-2</v>
      </c>
    </row>
    <row r="13" spans="1:11">
      <c r="A13" s="2">
        <v>9</v>
      </c>
      <c r="B13" s="2">
        <v>1.99</v>
      </c>
      <c r="C13" s="2">
        <v>1.99</v>
      </c>
      <c r="D13"/>
      <c r="E13"/>
      <c r="F13"/>
      <c r="G13"/>
      <c r="H13"/>
      <c r="K13" s="6">
        <f t="shared" si="0"/>
        <v>0</v>
      </c>
    </row>
    <row r="14" spans="1:11">
      <c r="A14" s="2">
        <v>10</v>
      </c>
      <c r="B14" s="2">
        <v>1.96</v>
      </c>
      <c r="C14" s="2">
        <v>1.92</v>
      </c>
      <c r="D14"/>
      <c r="E14"/>
      <c r="F14"/>
      <c r="G14"/>
      <c r="H14"/>
      <c r="K14" s="6">
        <f t="shared" si="0"/>
        <v>4.0000000000000036E-2</v>
      </c>
    </row>
    <row r="15" spans="1:11">
      <c r="A15" s="2">
        <v>11</v>
      </c>
      <c r="B15" s="2">
        <v>1.98</v>
      </c>
      <c r="C15" s="2">
        <v>1.89</v>
      </c>
      <c r="D15"/>
      <c r="E15"/>
      <c r="F15"/>
      <c r="G15"/>
      <c r="H15"/>
      <c r="K15" s="6">
        <f t="shared" si="0"/>
        <v>9.000000000000008E-2</v>
      </c>
    </row>
    <row r="16" spans="1:11">
      <c r="A16" s="2">
        <v>12</v>
      </c>
      <c r="B16" s="2">
        <v>2.68</v>
      </c>
      <c r="C16" s="2">
        <v>1.87</v>
      </c>
      <c r="D16"/>
      <c r="E16"/>
      <c r="F16"/>
      <c r="G16"/>
      <c r="H16"/>
      <c r="K16" s="6">
        <f t="shared" si="0"/>
        <v>0.81</v>
      </c>
    </row>
    <row r="17" spans="1:11">
      <c r="A17" s="2">
        <v>13</v>
      </c>
      <c r="B17" s="2">
        <v>2.0099999999999998</v>
      </c>
      <c r="C17" s="2">
        <v>1.88</v>
      </c>
      <c r="D17"/>
      <c r="E17"/>
      <c r="F17"/>
      <c r="G17"/>
      <c r="H17"/>
      <c r="K17" s="6">
        <f t="shared" si="0"/>
        <v>0.12999999999999989</v>
      </c>
    </row>
    <row r="18" spans="1:11">
      <c r="A18" s="2">
        <v>14</v>
      </c>
      <c r="B18" s="2">
        <v>2</v>
      </c>
      <c r="C18" s="2">
        <v>1.92</v>
      </c>
      <c r="D18"/>
      <c r="E18"/>
      <c r="F18"/>
      <c r="G18"/>
      <c r="H18"/>
      <c r="K18" s="6">
        <f t="shared" si="0"/>
        <v>8.0000000000000071E-2</v>
      </c>
    </row>
    <row r="19" spans="1:11">
      <c r="A19" s="2">
        <v>15</v>
      </c>
      <c r="B19" s="2">
        <v>1.97</v>
      </c>
      <c r="C19" s="2">
        <v>1.91</v>
      </c>
      <c r="D19"/>
      <c r="E19"/>
      <c r="F19"/>
      <c r="G19"/>
      <c r="H19"/>
      <c r="K19" s="6">
        <f t="shared" si="0"/>
        <v>6.0000000000000053E-2</v>
      </c>
    </row>
  </sheetData>
  <conditionalFormatting sqref="K5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B279-A693-4567-A14E-2A557792BDED}">
  <dimension ref="A1:K19"/>
  <sheetViews>
    <sheetView topLeftCell="B1" workbookViewId="0">
      <selection activeCell="B10" sqref="B10"/>
    </sheetView>
  </sheetViews>
  <sheetFormatPr defaultRowHeight="15"/>
  <cols>
    <col min="1" max="1" width="14.7109375" style="2" bestFit="1" customWidth="1"/>
    <col min="2" max="2" width="17.85546875" style="2" bestFit="1" customWidth="1"/>
    <col min="3" max="3" width="5.85546875" style="2" bestFit="1" customWidth="1"/>
    <col min="4" max="5" width="4.85546875" style="2" bestFit="1" customWidth="1"/>
    <col min="6" max="7" width="1.85546875" style="2" bestFit="1" customWidth="1"/>
    <col min="8" max="8" width="2.85546875" style="2" bestFit="1" customWidth="1"/>
    <col min="9" max="9" width="10.42578125" bestFit="1" customWidth="1"/>
    <col min="11" max="11" width="12.5703125" style="2" bestFit="1" customWidth="1"/>
  </cols>
  <sheetData>
    <row r="1" spans="1:11">
      <c r="A1" s="9" t="s">
        <v>5</v>
      </c>
      <c r="B1" s="2" t="s">
        <v>41</v>
      </c>
    </row>
    <row r="3" spans="1:11">
      <c r="A3" s="9" t="s">
        <v>156</v>
      </c>
      <c r="B3" s="9" t="s">
        <v>153</v>
      </c>
      <c r="D3"/>
      <c r="E3"/>
      <c r="F3"/>
      <c r="G3"/>
      <c r="H3"/>
    </row>
    <row r="4" spans="1:11">
      <c r="A4" s="9" t="s">
        <v>154</v>
      </c>
      <c r="B4" s="2" t="s">
        <v>121</v>
      </c>
      <c r="C4" s="2" t="s">
        <v>42</v>
      </c>
      <c r="D4"/>
      <c r="E4"/>
      <c r="F4"/>
      <c r="G4"/>
      <c r="H4"/>
      <c r="K4" s="8" t="s">
        <v>161</v>
      </c>
    </row>
    <row r="5" spans="1:11">
      <c r="A5" s="2">
        <v>1</v>
      </c>
      <c r="B5" s="2">
        <v>97.35</v>
      </c>
      <c r="C5" s="2">
        <v>97.75</v>
      </c>
      <c r="D5"/>
      <c r="E5"/>
      <c r="F5"/>
      <c r="G5"/>
      <c r="H5"/>
      <c r="K5" s="6">
        <f>B5-C5</f>
        <v>-0.40000000000000568</v>
      </c>
    </row>
    <row r="6" spans="1:11">
      <c r="A6" s="2">
        <v>2</v>
      </c>
      <c r="B6" s="2">
        <v>97.52</v>
      </c>
      <c r="C6" s="2">
        <v>97.71</v>
      </c>
      <c r="D6"/>
      <c r="E6"/>
      <c r="F6"/>
      <c r="G6"/>
      <c r="H6"/>
      <c r="K6" s="6">
        <f t="shared" ref="K6:K19" si="0">B6-C6</f>
        <v>-0.18999999999999773</v>
      </c>
    </row>
    <row r="7" spans="1:11">
      <c r="A7" s="2">
        <v>3</v>
      </c>
      <c r="B7" s="2">
        <v>97.47</v>
      </c>
      <c r="C7" s="2">
        <v>97.72</v>
      </c>
      <c r="D7"/>
      <c r="E7"/>
      <c r="F7"/>
      <c r="G7"/>
      <c r="H7"/>
      <c r="K7" s="6">
        <f t="shared" si="0"/>
        <v>-0.25</v>
      </c>
    </row>
    <row r="8" spans="1:11">
      <c r="A8" s="2">
        <v>4</v>
      </c>
      <c r="B8" s="2">
        <v>97.36</v>
      </c>
      <c r="C8" s="2">
        <v>97.69</v>
      </c>
      <c r="D8"/>
      <c r="E8"/>
      <c r="F8"/>
      <c r="G8"/>
      <c r="H8"/>
      <c r="K8" s="6">
        <f t="shared" si="0"/>
        <v>-0.32999999999999829</v>
      </c>
    </row>
    <row r="9" spans="1:11">
      <c r="A9" s="2">
        <v>5</v>
      </c>
      <c r="B9" s="2">
        <v>97.61</v>
      </c>
      <c r="C9" s="2">
        <v>97.64</v>
      </c>
      <c r="D9"/>
      <c r="E9"/>
      <c r="F9"/>
      <c r="G9"/>
      <c r="H9"/>
      <c r="K9" s="6">
        <f t="shared" si="0"/>
        <v>-3.0000000000001137E-2</v>
      </c>
    </row>
    <row r="10" spans="1:11">
      <c r="A10" s="2">
        <v>6</v>
      </c>
      <c r="B10" s="2">
        <v>97.49</v>
      </c>
      <c r="C10" s="2">
        <v>97.67</v>
      </c>
      <c r="D10"/>
      <c r="E10"/>
      <c r="F10"/>
      <c r="G10"/>
      <c r="H10"/>
      <c r="K10" s="6">
        <f t="shared" si="0"/>
        <v>-0.18000000000000682</v>
      </c>
    </row>
    <row r="11" spans="1:11">
      <c r="A11" s="2">
        <v>7</v>
      </c>
      <c r="B11" s="2">
        <v>97.27</v>
      </c>
      <c r="C11" s="2">
        <v>97.61</v>
      </c>
      <c r="D11"/>
      <c r="E11"/>
      <c r="F11"/>
      <c r="G11"/>
      <c r="H11"/>
      <c r="K11" s="6">
        <f t="shared" si="0"/>
        <v>-0.34000000000000341</v>
      </c>
    </row>
    <row r="12" spans="1:11">
      <c r="A12" s="2">
        <v>8</v>
      </c>
      <c r="B12" s="2">
        <v>97.35</v>
      </c>
      <c r="C12" s="2">
        <v>97.63</v>
      </c>
      <c r="D12"/>
      <c r="E12"/>
      <c r="F12"/>
      <c r="G12"/>
      <c r="H12"/>
      <c r="K12" s="6">
        <f t="shared" si="0"/>
        <v>-0.28000000000000114</v>
      </c>
    </row>
    <row r="13" spans="1:11">
      <c r="A13" s="2">
        <v>9</v>
      </c>
      <c r="B13" s="2">
        <v>97.41</v>
      </c>
      <c r="C13" s="2">
        <v>97.59</v>
      </c>
      <c r="D13"/>
      <c r="E13"/>
      <c r="F13"/>
      <c r="G13"/>
      <c r="H13"/>
      <c r="K13" s="6">
        <f t="shared" si="0"/>
        <v>-0.18000000000000682</v>
      </c>
    </row>
    <row r="14" spans="1:11">
      <c r="A14" s="2">
        <v>10</v>
      </c>
      <c r="B14" s="2">
        <v>97.46</v>
      </c>
      <c r="C14" s="2">
        <v>97.65</v>
      </c>
      <c r="D14"/>
      <c r="E14"/>
      <c r="F14"/>
      <c r="G14"/>
      <c r="H14"/>
      <c r="K14" s="6">
        <f t="shared" si="0"/>
        <v>-0.19000000000001194</v>
      </c>
    </row>
    <row r="15" spans="1:11">
      <c r="A15" s="2">
        <v>11</v>
      </c>
      <c r="B15" s="2">
        <v>97.42</v>
      </c>
      <c r="C15" s="2">
        <v>97.67</v>
      </c>
      <c r="D15"/>
      <c r="E15"/>
      <c r="F15"/>
      <c r="G15"/>
      <c r="H15"/>
      <c r="K15" s="6">
        <f t="shared" si="0"/>
        <v>-0.25</v>
      </c>
    </row>
    <row r="16" spans="1:11">
      <c r="A16" s="2">
        <v>12</v>
      </c>
      <c r="B16" s="2">
        <v>96.44</v>
      </c>
      <c r="C16" s="2">
        <v>97.7</v>
      </c>
      <c r="D16"/>
      <c r="E16"/>
      <c r="F16"/>
      <c r="G16"/>
      <c r="H16"/>
      <c r="K16" s="6">
        <f t="shared" si="0"/>
        <v>-1.2600000000000051</v>
      </c>
    </row>
    <row r="17" spans="1:11">
      <c r="A17" s="2">
        <v>13</v>
      </c>
      <c r="B17" s="2">
        <v>97.46</v>
      </c>
      <c r="C17" s="2">
        <v>97.65</v>
      </c>
      <c r="D17"/>
      <c r="E17"/>
      <c r="F17"/>
      <c r="G17"/>
      <c r="H17"/>
      <c r="K17" s="6">
        <f t="shared" si="0"/>
        <v>-0.19000000000001194</v>
      </c>
    </row>
    <row r="18" spans="1:11">
      <c r="A18" s="2">
        <v>14</v>
      </c>
      <c r="B18" s="2">
        <v>97.5</v>
      </c>
      <c r="C18" s="2">
        <v>97.6</v>
      </c>
      <c r="D18"/>
      <c r="E18"/>
      <c r="F18"/>
      <c r="G18"/>
      <c r="H18"/>
      <c r="K18" s="6">
        <f t="shared" si="0"/>
        <v>-9.9999999999994316E-2</v>
      </c>
    </row>
    <row r="19" spans="1:11">
      <c r="A19" s="2">
        <v>15</v>
      </c>
      <c r="B19" s="2">
        <v>97.45</v>
      </c>
      <c r="C19" s="2">
        <v>97.59</v>
      </c>
      <c r="D19"/>
      <c r="E19"/>
      <c r="F19"/>
      <c r="G19"/>
      <c r="H19"/>
      <c r="K19" s="6">
        <f t="shared" si="0"/>
        <v>-0.14000000000000057</v>
      </c>
    </row>
  </sheetData>
  <conditionalFormatting sqref="K5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6610-6134-4394-9B8F-43F159ED4E6B}">
  <dimension ref="A1:K19"/>
  <sheetViews>
    <sheetView workbookViewId="0">
      <selection activeCell="N10" sqref="N10"/>
    </sheetView>
  </sheetViews>
  <sheetFormatPr defaultRowHeight="15"/>
  <cols>
    <col min="1" max="1" width="14.7109375" style="2" bestFit="1" customWidth="1"/>
    <col min="2" max="2" width="17.85546875" style="2" bestFit="1" customWidth="1"/>
    <col min="3" max="5" width="4.85546875" style="2" bestFit="1" customWidth="1"/>
    <col min="6" max="7" width="1.85546875" style="2" bestFit="1" customWidth="1"/>
    <col min="8" max="8" width="2.85546875" style="2" bestFit="1" customWidth="1"/>
    <col min="9" max="9" width="10.42578125" bestFit="1" customWidth="1"/>
    <col min="11" max="11" width="12.5703125" style="2" bestFit="1" customWidth="1"/>
  </cols>
  <sheetData>
    <row r="1" spans="1:11">
      <c r="A1" s="9" t="s">
        <v>5</v>
      </c>
      <c r="B1" s="2" t="s">
        <v>41</v>
      </c>
    </row>
    <row r="3" spans="1:11">
      <c r="A3" s="9" t="s">
        <v>158</v>
      </c>
      <c r="B3" s="9" t="s">
        <v>153</v>
      </c>
      <c r="D3"/>
      <c r="E3"/>
      <c r="F3"/>
      <c r="G3"/>
      <c r="H3"/>
    </row>
    <row r="4" spans="1:11">
      <c r="A4" s="9" t="s">
        <v>154</v>
      </c>
      <c r="B4" s="2" t="s">
        <v>121</v>
      </c>
      <c r="C4" s="2" t="s">
        <v>42</v>
      </c>
      <c r="D4"/>
      <c r="E4"/>
      <c r="F4"/>
      <c r="G4"/>
      <c r="H4"/>
      <c r="K4" s="8" t="s">
        <v>161</v>
      </c>
    </row>
    <row r="5" spans="1:11">
      <c r="A5" s="2">
        <v>1</v>
      </c>
      <c r="B5" s="2">
        <v>0.61</v>
      </c>
      <c r="C5" s="2">
        <v>0.31</v>
      </c>
      <c r="D5"/>
      <c r="E5"/>
      <c r="F5"/>
      <c r="G5"/>
      <c r="H5"/>
      <c r="K5" s="6">
        <f>B5-C5</f>
        <v>0.3</v>
      </c>
    </row>
    <row r="6" spans="1:11">
      <c r="A6" s="2">
        <v>2</v>
      </c>
      <c r="B6" s="2">
        <v>0.52</v>
      </c>
      <c r="C6" s="2">
        <v>0.35</v>
      </c>
      <c r="D6"/>
      <c r="E6"/>
      <c r="F6"/>
      <c r="G6"/>
      <c r="H6"/>
      <c r="K6" s="6">
        <f t="shared" ref="K6:K19" si="0">B6-C6</f>
        <v>0.17000000000000004</v>
      </c>
    </row>
    <row r="7" spans="1:11">
      <c r="A7" s="2">
        <v>3</v>
      </c>
      <c r="B7" s="2">
        <v>0.43</v>
      </c>
      <c r="C7" s="2">
        <v>0.36</v>
      </c>
      <c r="D7"/>
      <c r="E7"/>
      <c r="F7"/>
      <c r="G7"/>
      <c r="H7"/>
      <c r="K7" s="6">
        <f t="shared" si="0"/>
        <v>7.0000000000000007E-2</v>
      </c>
    </row>
    <row r="8" spans="1:11">
      <c r="A8" s="2">
        <v>4</v>
      </c>
      <c r="B8" s="2">
        <v>0.54</v>
      </c>
      <c r="C8" s="2">
        <v>0.43</v>
      </c>
      <c r="D8"/>
      <c r="E8"/>
      <c r="F8"/>
      <c r="G8"/>
      <c r="H8"/>
      <c r="K8" s="6">
        <f t="shared" si="0"/>
        <v>0.11000000000000004</v>
      </c>
    </row>
    <row r="9" spans="1:11">
      <c r="A9" s="2">
        <v>5</v>
      </c>
      <c r="B9" s="2">
        <v>0.44</v>
      </c>
      <c r="C9" s="2">
        <v>0.46</v>
      </c>
      <c r="D9"/>
      <c r="E9"/>
      <c r="F9"/>
      <c r="G9"/>
      <c r="H9"/>
      <c r="K9" s="6">
        <f t="shared" si="0"/>
        <v>-2.0000000000000018E-2</v>
      </c>
    </row>
    <row r="10" spans="1:11">
      <c r="A10" s="2">
        <v>6</v>
      </c>
      <c r="B10" s="2">
        <v>0.79</v>
      </c>
      <c r="C10" s="2">
        <v>0.45</v>
      </c>
      <c r="D10"/>
      <c r="E10"/>
      <c r="F10"/>
      <c r="G10"/>
      <c r="H10"/>
      <c r="K10" s="6">
        <f t="shared" si="0"/>
        <v>0.34</v>
      </c>
    </row>
    <row r="11" spans="1:11">
      <c r="A11" s="2">
        <v>7</v>
      </c>
      <c r="B11" s="2">
        <v>0.47</v>
      </c>
      <c r="C11" s="2">
        <v>0.41</v>
      </c>
      <c r="D11"/>
      <c r="E11"/>
      <c r="F11"/>
      <c r="G11"/>
      <c r="H11"/>
      <c r="K11" s="6">
        <f t="shared" si="0"/>
        <v>0.06</v>
      </c>
    </row>
    <row r="12" spans="1:11">
      <c r="A12" s="2">
        <v>8</v>
      </c>
      <c r="B12" s="2">
        <v>0.63</v>
      </c>
      <c r="C12" s="2">
        <v>0.44</v>
      </c>
      <c r="D12"/>
      <c r="E12"/>
      <c r="F12"/>
      <c r="G12"/>
      <c r="H12"/>
      <c r="K12" s="6">
        <f t="shared" si="0"/>
        <v>0.19</v>
      </c>
    </row>
    <row r="13" spans="1:11">
      <c r="A13" s="2">
        <v>9</v>
      </c>
      <c r="B13" s="2">
        <v>0.6</v>
      </c>
      <c r="C13" s="2">
        <v>0.41</v>
      </c>
      <c r="D13"/>
      <c r="E13"/>
      <c r="F13"/>
      <c r="G13"/>
      <c r="H13"/>
      <c r="K13" s="6">
        <f t="shared" si="0"/>
        <v>0.19</v>
      </c>
    </row>
    <row r="14" spans="1:11">
      <c r="A14" s="2">
        <v>10</v>
      </c>
      <c r="B14" s="2">
        <v>0.56999999999999995</v>
      </c>
      <c r="C14" s="2">
        <v>0.43</v>
      </c>
      <c r="D14"/>
      <c r="E14"/>
      <c r="F14"/>
      <c r="G14"/>
      <c r="H14"/>
      <c r="K14" s="6">
        <f t="shared" si="0"/>
        <v>0.13999999999999996</v>
      </c>
    </row>
    <row r="15" spans="1:11">
      <c r="A15" s="2">
        <v>11</v>
      </c>
      <c r="B15" s="2">
        <v>0.6</v>
      </c>
      <c r="C15" s="2">
        <v>0.44</v>
      </c>
      <c r="D15"/>
      <c r="E15"/>
      <c r="F15"/>
      <c r="G15"/>
      <c r="H15"/>
      <c r="K15" s="6">
        <f t="shared" si="0"/>
        <v>0.15999999999999998</v>
      </c>
    </row>
    <row r="16" spans="1:11">
      <c r="A16" s="2">
        <v>12</v>
      </c>
      <c r="B16" s="2">
        <v>0.88</v>
      </c>
      <c r="C16" s="2">
        <v>0.43</v>
      </c>
      <c r="D16"/>
      <c r="E16"/>
      <c r="F16"/>
      <c r="G16"/>
      <c r="H16"/>
      <c r="K16" s="6">
        <f t="shared" si="0"/>
        <v>0.45</v>
      </c>
    </row>
    <row r="17" spans="1:11">
      <c r="A17" s="2">
        <v>13</v>
      </c>
      <c r="B17" s="2">
        <v>0.53</v>
      </c>
      <c r="C17" s="2">
        <v>0.46</v>
      </c>
      <c r="D17"/>
      <c r="E17"/>
      <c r="F17"/>
      <c r="G17"/>
      <c r="H17"/>
      <c r="K17" s="6">
        <f t="shared" si="0"/>
        <v>7.0000000000000007E-2</v>
      </c>
    </row>
    <row r="18" spans="1:11">
      <c r="A18" s="2">
        <v>14</v>
      </c>
      <c r="B18" s="2">
        <v>0.5</v>
      </c>
      <c r="C18" s="2">
        <v>0.48</v>
      </c>
      <c r="D18"/>
      <c r="E18"/>
      <c r="F18"/>
      <c r="G18"/>
      <c r="H18"/>
      <c r="K18" s="6">
        <f t="shared" si="0"/>
        <v>2.0000000000000018E-2</v>
      </c>
    </row>
    <row r="19" spans="1:11">
      <c r="A19" s="2">
        <v>15</v>
      </c>
      <c r="B19" s="2">
        <v>0.57999999999999996</v>
      </c>
      <c r="C19" s="2">
        <v>0.5</v>
      </c>
      <c r="D19"/>
      <c r="E19"/>
      <c r="F19"/>
      <c r="G19"/>
      <c r="H19"/>
      <c r="K19" s="6">
        <f t="shared" si="0"/>
        <v>7.999999999999996E-2</v>
      </c>
    </row>
  </sheetData>
  <conditionalFormatting sqref="K5:K1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Molly Grun</dc:creator>
  <cp:keywords/>
  <dc:description/>
  <cp:lastModifiedBy>Molly Grun</cp:lastModifiedBy>
  <cp:revision/>
  <dcterms:created xsi:type="dcterms:W3CDTF">2025-08-07T18:02:47Z</dcterms:created>
  <dcterms:modified xsi:type="dcterms:W3CDTF">2025-08-28T19:34:22Z</dcterms:modified>
  <cp:category/>
  <cp:contentStatus/>
</cp:coreProperties>
</file>